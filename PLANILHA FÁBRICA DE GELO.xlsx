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ipriosaude-my.sharepoint.com/personal/renata_stavale_klinisaude_com_br/Documents/Área de Trabalho/"/>
    </mc:Choice>
  </mc:AlternateContent>
  <xr:revisionPtr revIDLastSave="1085" documentId="8_{EE42E74A-96BB-461F-8E91-BDCBBDD5BCB6}" xr6:coauthVersionLast="47" xr6:coauthVersionMax="47" xr10:uidLastSave="{D0EA00A8-033E-4263-B0BD-393B28FC3CEB}"/>
  <bookViews>
    <workbookView xWindow="-110" yWindow="-110" windowWidth="19420" windowHeight="10300" xr2:uid="{E253E163-9AA6-422B-96B3-2C5FC4F9EADA}"/>
  </bookViews>
  <sheets>
    <sheet name="Planilha1" sheetId="1" r:id="rId1"/>
    <sheet name="Planilha2" sheetId="2" r:id="rId2"/>
  </sheets>
  <definedNames>
    <definedName name="_xlnm._FilterDatabase" localSheetId="0" hidden="1">Planilha1!$H$2:$O$25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572" i="1" l="1"/>
  <c r="R512" i="1"/>
  <c r="R449" i="1"/>
  <c r="R387" i="1"/>
  <c r="R329" i="1"/>
  <c r="R267" i="1"/>
  <c r="R214" i="1"/>
  <c r="R146" i="1"/>
  <c r="R102" i="1"/>
  <c r="R36" i="1"/>
  <c r="R10" i="1"/>
  <c r="N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N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N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N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N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N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N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N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N25" i="1"/>
  <c r="M14" i="1"/>
  <c r="M15" i="1"/>
  <c r="M16" i="1"/>
  <c r="M17" i="1"/>
  <c r="M18" i="1"/>
  <c r="M19" i="1"/>
  <c r="M20" i="1"/>
  <c r="M21" i="1"/>
  <c r="M22" i="1"/>
  <c r="M23" i="1"/>
  <c r="M24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30" i="1"/>
  <c r="M4" i="1"/>
  <c r="M5" i="1"/>
  <c r="M6" i="1"/>
  <c r="M7" i="1"/>
  <c r="M8" i="1"/>
  <c r="M9" i="1"/>
  <c r="M10" i="1"/>
  <c r="M11" i="1"/>
  <c r="M12" i="1"/>
  <c r="M13" i="1"/>
  <c r="M3" i="1"/>
  <c r="O3" i="1" s="1"/>
  <c r="D45" i="1"/>
  <c r="C45" i="1"/>
  <c r="E3" i="1" s="1"/>
  <c r="E4" i="1" s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E45" i="1" s="1"/>
  <c r="M558" i="1" l="1"/>
  <c r="M619" i="1"/>
  <c r="M497" i="1"/>
  <c r="M436" i="1"/>
  <c r="M375" i="1"/>
  <c r="M253" i="1"/>
  <c r="M191" i="1"/>
  <c r="M314" i="1"/>
  <c r="O4" i="1"/>
  <c r="O5" i="1" s="1"/>
  <c r="O6" i="1" s="1"/>
  <c r="O7" i="1" s="1"/>
  <c r="O8" i="1" s="1"/>
  <c r="O9" i="1" s="1"/>
  <c r="O10" i="1" s="1"/>
  <c r="O11" i="1" s="1"/>
  <c r="O12" i="1" s="1"/>
  <c r="O13" i="1" s="1"/>
  <c r="O14" i="1" s="1"/>
  <c r="O15" i="1" s="1"/>
  <c r="O16" i="1" s="1"/>
  <c r="O17" i="1" s="1"/>
  <c r="O18" i="1" s="1"/>
  <c r="O19" i="1" s="1"/>
  <c r="O20" i="1" s="1"/>
  <c r="O21" i="1" s="1"/>
  <c r="O22" i="1" s="1"/>
  <c r="O23" i="1" s="1"/>
  <c r="O24" i="1" s="1"/>
  <c r="M25" i="1"/>
  <c r="O25" i="1" s="1"/>
  <c r="O30" i="1" s="1"/>
  <c r="O31" i="1" s="1"/>
  <c r="O32" i="1" s="1"/>
  <c r="O33" i="1" s="1"/>
  <c r="O34" i="1" s="1"/>
  <c r="O35" i="1" s="1"/>
  <c r="O36" i="1" s="1"/>
  <c r="O37" i="1" s="1"/>
  <c r="O38" i="1" s="1"/>
  <c r="O39" i="1" s="1"/>
  <c r="O40" i="1" s="1"/>
  <c r="O41" i="1" s="1"/>
  <c r="O42" i="1" s="1"/>
  <c r="O43" i="1" s="1"/>
  <c r="O44" i="1" s="1"/>
  <c r="O45" i="1" s="1"/>
  <c r="O46" i="1" s="1"/>
  <c r="O47" i="1" s="1"/>
  <c r="O48" i="1" s="1"/>
  <c r="O49" i="1" s="1"/>
  <c r="O50" i="1" s="1"/>
  <c r="O51" i="1" s="1"/>
  <c r="O52" i="1" s="1"/>
  <c r="O53" i="1" s="1"/>
  <c r="O54" i="1" s="1"/>
  <c r="O55" i="1" s="1"/>
  <c r="O56" i="1" s="1"/>
  <c r="O57" i="1" s="1"/>
  <c r="O58" i="1" s="1"/>
  <c r="O59" i="1" s="1"/>
  <c r="O60" i="1" s="1"/>
  <c r="O61" i="1" s="1"/>
  <c r="O62" i="1" s="1"/>
  <c r="O63" i="1" s="1"/>
  <c r="O64" i="1" s="1"/>
  <c r="O65" i="1" s="1"/>
  <c r="O66" i="1" s="1"/>
  <c r="O67" i="1" s="1"/>
  <c r="O68" i="1" s="1"/>
  <c r="O69" i="1" s="1"/>
  <c r="O70" i="1" s="1"/>
  <c r="O71" i="1" s="1"/>
  <c r="O72" i="1" s="1"/>
  <c r="O73" i="1" s="1"/>
  <c r="O74" i="1" s="1"/>
  <c r="O75" i="1" s="1"/>
  <c r="O76" i="1" s="1"/>
  <c r="O77" i="1" s="1"/>
  <c r="O78" i="1" s="1"/>
  <c r="O79" i="1" s="1"/>
  <c r="O80" i="1" s="1"/>
  <c r="O81" i="1" s="1"/>
  <c r="O82" i="1" s="1"/>
  <c r="O83" i="1" s="1"/>
  <c r="O84" i="1" s="1"/>
  <c r="O85" i="1" s="1"/>
  <c r="O86" i="1" s="1"/>
  <c r="M86" i="1"/>
  <c r="N86" i="1"/>
  <c r="O91" i="1" l="1"/>
  <c r="O92" i="1" s="1"/>
  <c r="O93" i="1" s="1"/>
  <c r="O94" i="1" s="1"/>
  <c r="O95" i="1" s="1"/>
  <c r="O96" i="1" s="1"/>
  <c r="O97" i="1" s="1"/>
  <c r="O98" i="1" s="1"/>
  <c r="O99" i="1" s="1"/>
  <c r="O100" i="1" s="1"/>
  <c r="O101" i="1" s="1"/>
  <c r="O102" i="1" s="1"/>
  <c r="O103" i="1" s="1"/>
  <c r="O104" i="1" s="1"/>
  <c r="O105" i="1" s="1"/>
  <c r="O106" i="1" s="1"/>
  <c r="O107" i="1" s="1"/>
  <c r="O108" i="1" s="1"/>
  <c r="O109" i="1" s="1"/>
  <c r="O110" i="1" s="1"/>
  <c r="O111" i="1" s="1"/>
  <c r="O112" i="1" s="1"/>
  <c r="O113" i="1" s="1"/>
  <c r="O114" i="1" s="1"/>
  <c r="O115" i="1" s="1"/>
  <c r="O116" i="1" s="1"/>
  <c r="O117" i="1" s="1"/>
  <c r="O118" i="1" s="1"/>
  <c r="O119" i="1" s="1"/>
  <c r="O120" i="1" s="1"/>
  <c r="O121" i="1" s="1"/>
  <c r="O122" i="1" s="1"/>
  <c r="O123" i="1" s="1"/>
  <c r="O124" i="1" s="1"/>
  <c r="O125" i="1" s="1"/>
  <c r="O126" i="1" s="1"/>
  <c r="O127" i="1" s="1"/>
  <c r="O128" i="1" s="1"/>
  <c r="O135" i="1" s="1"/>
  <c r="O136" i="1" s="1"/>
  <c r="O137" i="1" s="1"/>
  <c r="O138" i="1" s="1"/>
  <c r="O139" i="1" s="1"/>
  <c r="O140" i="1" s="1"/>
  <c r="O141" i="1" s="1"/>
  <c r="O142" i="1" s="1"/>
  <c r="O143" i="1" s="1"/>
  <c r="O144" i="1" s="1"/>
  <c r="O145" i="1" s="1"/>
  <c r="O146" i="1" s="1"/>
  <c r="O147" i="1" s="1"/>
  <c r="O148" i="1" s="1"/>
  <c r="O149" i="1" s="1"/>
  <c r="O150" i="1" s="1"/>
  <c r="O151" i="1" s="1"/>
  <c r="O152" i="1" s="1"/>
  <c r="O153" i="1" s="1"/>
  <c r="O154" i="1" s="1"/>
  <c r="O155" i="1" s="1"/>
  <c r="O156" i="1" s="1"/>
  <c r="O157" i="1" s="1"/>
  <c r="O158" i="1" s="1"/>
  <c r="O159" i="1" s="1"/>
  <c r="O160" i="1" s="1"/>
  <c r="O161" i="1" s="1"/>
  <c r="O162" i="1" s="1"/>
  <c r="O163" i="1" s="1"/>
  <c r="O164" i="1" s="1"/>
  <c r="O165" i="1" s="1"/>
  <c r="O166" i="1" s="1"/>
  <c r="O167" i="1" s="1"/>
  <c r="O168" i="1" s="1"/>
  <c r="O169" i="1" s="1"/>
  <c r="O170" i="1" s="1"/>
  <c r="O171" i="1" s="1"/>
  <c r="O172" i="1" s="1"/>
  <c r="O173" i="1" s="1"/>
  <c r="O174" i="1" s="1"/>
  <c r="O175" i="1" s="1"/>
  <c r="O176" i="1" s="1"/>
  <c r="O177" i="1" s="1"/>
  <c r="O178" i="1" s="1"/>
  <c r="O179" i="1" s="1"/>
  <c r="O180" i="1" s="1"/>
  <c r="O181" i="1" s="1"/>
  <c r="O182" i="1" s="1"/>
  <c r="O183" i="1" s="1"/>
  <c r="O184" i="1" s="1"/>
  <c r="O185" i="1" s="1"/>
  <c r="O186" i="1" s="1"/>
  <c r="O187" i="1" s="1"/>
  <c r="O188" i="1" s="1"/>
  <c r="O189" i="1" s="1"/>
  <c r="O190" i="1" s="1"/>
  <c r="O191" i="1" s="1"/>
  <c r="O197" i="1" s="1"/>
  <c r="O198" i="1" s="1"/>
  <c r="O199" i="1" s="1"/>
  <c r="O200" i="1" s="1"/>
  <c r="O201" i="1" s="1"/>
  <c r="O202" i="1" s="1"/>
  <c r="O203" i="1" s="1"/>
  <c r="O204" i="1" s="1"/>
  <c r="O205" i="1" s="1"/>
  <c r="O206" i="1" s="1"/>
  <c r="O207" i="1" s="1"/>
  <c r="O208" i="1" s="1"/>
  <c r="O209" i="1" s="1"/>
  <c r="O210" i="1" s="1"/>
  <c r="O211" i="1" s="1"/>
  <c r="O212" i="1" s="1"/>
  <c r="O213" i="1" s="1"/>
  <c r="O214" i="1" s="1"/>
  <c r="O215" i="1" s="1"/>
  <c r="O216" i="1" s="1"/>
  <c r="O217" i="1" s="1"/>
  <c r="O218" i="1" s="1"/>
  <c r="O219" i="1" s="1"/>
  <c r="O220" i="1" s="1"/>
  <c r="O221" i="1" s="1"/>
  <c r="O222" i="1" s="1"/>
  <c r="O223" i="1" s="1"/>
  <c r="O224" i="1" s="1"/>
  <c r="O225" i="1" s="1"/>
  <c r="O226" i="1" s="1"/>
  <c r="O227" i="1" s="1"/>
  <c r="O228" i="1" s="1"/>
  <c r="O229" i="1" s="1"/>
  <c r="O230" i="1" s="1"/>
  <c r="O231" i="1" s="1"/>
  <c r="O232" i="1" s="1"/>
  <c r="O233" i="1" s="1"/>
  <c r="O234" i="1" s="1"/>
  <c r="O235" i="1" s="1"/>
  <c r="O236" i="1" s="1"/>
  <c r="O237" i="1" s="1"/>
  <c r="O238" i="1" s="1"/>
  <c r="O239" i="1" s="1"/>
  <c r="O240" i="1" s="1"/>
  <c r="O241" i="1" s="1"/>
  <c r="O242" i="1" s="1"/>
  <c r="O243" i="1" s="1"/>
  <c r="O244" i="1" s="1"/>
  <c r="O245" i="1" s="1"/>
  <c r="O246" i="1" s="1"/>
  <c r="O247" i="1" s="1"/>
  <c r="O248" i="1" s="1"/>
  <c r="O249" i="1" s="1"/>
  <c r="O250" i="1" s="1"/>
  <c r="O251" i="1" s="1"/>
  <c r="O252" i="1" s="1"/>
  <c r="O253" i="1" s="1"/>
  <c r="O258" i="1" s="1"/>
  <c r="O259" i="1" s="1"/>
  <c r="O260" i="1" s="1"/>
  <c r="O261" i="1" s="1"/>
  <c r="O262" i="1" s="1"/>
  <c r="O263" i="1" s="1"/>
  <c r="O264" i="1" s="1"/>
  <c r="O265" i="1" s="1"/>
  <c r="O266" i="1" s="1"/>
  <c r="O267" i="1" s="1"/>
  <c r="O268" i="1" s="1"/>
  <c r="O269" i="1" s="1"/>
  <c r="O270" i="1" s="1"/>
  <c r="O271" i="1" s="1"/>
  <c r="O272" i="1" s="1"/>
  <c r="O273" i="1" s="1"/>
  <c r="O274" i="1" s="1"/>
  <c r="O275" i="1" s="1"/>
  <c r="O276" i="1" s="1"/>
  <c r="O277" i="1" s="1"/>
  <c r="O278" i="1" s="1"/>
  <c r="O279" i="1" s="1"/>
  <c r="O280" i="1" s="1"/>
  <c r="O281" i="1" s="1"/>
  <c r="O282" i="1" s="1"/>
  <c r="O283" i="1" s="1"/>
  <c r="O284" i="1" s="1"/>
  <c r="O285" i="1" s="1"/>
  <c r="O286" i="1" s="1"/>
  <c r="O287" i="1" s="1"/>
  <c r="O288" i="1" s="1"/>
  <c r="O289" i="1" s="1"/>
  <c r="O290" i="1" s="1"/>
  <c r="O291" i="1" s="1"/>
  <c r="O292" i="1" s="1"/>
  <c r="O293" i="1" s="1"/>
  <c r="O294" i="1" s="1"/>
  <c r="O295" i="1" s="1"/>
  <c r="O296" i="1" s="1"/>
  <c r="O297" i="1" s="1"/>
  <c r="O298" i="1" s="1"/>
  <c r="O299" i="1" s="1"/>
  <c r="O300" i="1" s="1"/>
  <c r="O301" i="1" s="1"/>
  <c r="O302" i="1" s="1"/>
  <c r="O303" i="1" s="1"/>
  <c r="O304" i="1" s="1"/>
  <c r="O305" i="1" s="1"/>
  <c r="O306" i="1" s="1"/>
  <c r="O307" i="1" s="1"/>
  <c r="O308" i="1" s="1"/>
  <c r="O309" i="1" s="1"/>
  <c r="O310" i="1" s="1"/>
  <c r="O311" i="1" s="1"/>
  <c r="O312" i="1" s="1"/>
  <c r="O313" i="1" s="1"/>
  <c r="O314" i="1" s="1"/>
  <c r="O319" i="1" s="1"/>
  <c r="O320" i="1" s="1"/>
  <c r="O321" i="1" s="1"/>
  <c r="O322" i="1" s="1"/>
  <c r="O323" i="1" s="1"/>
  <c r="O324" i="1" s="1"/>
  <c r="O325" i="1" s="1"/>
  <c r="O326" i="1" s="1"/>
  <c r="O327" i="1" s="1"/>
  <c r="O328" i="1" s="1"/>
  <c r="O329" i="1" s="1"/>
  <c r="O330" i="1" s="1"/>
  <c r="O331" i="1" s="1"/>
  <c r="O332" i="1" s="1"/>
  <c r="O333" i="1" s="1"/>
  <c r="O334" i="1" s="1"/>
  <c r="O335" i="1" s="1"/>
  <c r="O336" i="1" s="1"/>
  <c r="O337" i="1" s="1"/>
  <c r="O338" i="1" s="1"/>
  <c r="O339" i="1" s="1"/>
  <c r="O340" i="1" s="1"/>
  <c r="O341" i="1" s="1"/>
  <c r="O342" i="1" s="1"/>
  <c r="O343" i="1" s="1"/>
  <c r="O344" i="1" s="1"/>
  <c r="O345" i="1" s="1"/>
  <c r="O346" i="1" s="1"/>
  <c r="O347" i="1" s="1"/>
  <c r="O348" i="1" s="1"/>
  <c r="O349" i="1" s="1"/>
  <c r="O350" i="1" s="1"/>
  <c r="O351" i="1" s="1"/>
  <c r="O352" i="1" s="1"/>
  <c r="O353" i="1" s="1"/>
  <c r="O354" i="1" s="1"/>
  <c r="O355" i="1" s="1"/>
  <c r="O356" i="1" s="1"/>
  <c r="O357" i="1" s="1"/>
  <c r="O358" i="1" s="1"/>
  <c r="O359" i="1" s="1"/>
  <c r="O360" i="1" s="1"/>
  <c r="O361" i="1" s="1"/>
  <c r="O362" i="1" s="1"/>
  <c r="O363" i="1" s="1"/>
  <c r="O364" i="1" s="1"/>
  <c r="O365" i="1" s="1"/>
  <c r="O366" i="1" s="1"/>
  <c r="O367" i="1" s="1"/>
  <c r="O368" i="1" s="1"/>
  <c r="O369" i="1" s="1"/>
  <c r="O370" i="1" s="1"/>
  <c r="O371" i="1" s="1"/>
  <c r="O372" i="1" s="1"/>
  <c r="O373" i="1" s="1"/>
  <c r="O374" i="1" s="1"/>
  <c r="O375" i="1" s="1"/>
  <c r="O380" i="1" s="1"/>
  <c r="O381" i="1" s="1"/>
  <c r="O382" i="1" s="1"/>
  <c r="O383" i="1" s="1"/>
  <c r="O384" i="1" s="1"/>
  <c r="O385" i="1" s="1"/>
  <c r="O386" i="1" s="1"/>
  <c r="O387" i="1" s="1"/>
  <c r="O388" i="1" s="1"/>
  <c r="O389" i="1" s="1"/>
  <c r="O390" i="1" s="1"/>
  <c r="O391" i="1" s="1"/>
  <c r="O392" i="1" s="1"/>
  <c r="O393" i="1" s="1"/>
  <c r="O394" i="1" s="1"/>
  <c r="O395" i="1" s="1"/>
  <c r="O396" i="1" s="1"/>
  <c r="O397" i="1" s="1"/>
  <c r="O398" i="1" s="1"/>
  <c r="O399" i="1" s="1"/>
  <c r="O400" i="1" s="1"/>
  <c r="O401" i="1" s="1"/>
  <c r="O402" i="1" s="1"/>
  <c r="O403" i="1" s="1"/>
  <c r="O404" i="1" s="1"/>
  <c r="O405" i="1" s="1"/>
  <c r="O406" i="1" s="1"/>
  <c r="O407" i="1" s="1"/>
  <c r="O408" i="1" s="1"/>
  <c r="O409" i="1" s="1"/>
  <c r="O410" i="1" s="1"/>
  <c r="O411" i="1" s="1"/>
  <c r="O412" i="1" s="1"/>
  <c r="O413" i="1" s="1"/>
  <c r="O414" i="1" s="1"/>
  <c r="O415" i="1" s="1"/>
  <c r="O416" i="1" s="1"/>
  <c r="O417" i="1" s="1"/>
  <c r="O418" i="1" s="1"/>
  <c r="O419" i="1" s="1"/>
  <c r="O420" i="1" s="1"/>
  <c r="O421" i="1" s="1"/>
  <c r="O422" i="1" s="1"/>
  <c r="O423" i="1" s="1"/>
  <c r="O424" i="1" s="1"/>
  <c r="O425" i="1" s="1"/>
  <c r="O426" i="1" s="1"/>
  <c r="O427" i="1" s="1"/>
  <c r="O428" i="1" s="1"/>
  <c r="O429" i="1" s="1"/>
  <c r="O430" i="1" s="1"/>
  <c r="O431" i="1" s="1"/>
  <c r="O432" i="1" s="1"/>
  <c r="O433" i="1" s="1"/>
  <c r="O434" i="1" s="1"/>
  <c r="O435" i="1" s="1"/>
  <c r="O436" i="1" s="1"/>
  <c r="O441" i="1" s="1"/>
  <c r="O442" i="1" s="1"/>
  <c r="O443" i="1" s="1"/>
  <c r="O444" i="1" s="1"/>
  <c r="O445" i="1" s="1"/>
  <c r="O446" i="1" s="1"/>
  <c r="O447" i="1" s="1"/>
  <c r="O448" i="1" s="1"/>
  <c r="O449" i="1" s="1"/>
  <c r="O450" i="1" s="1"/>
  <c r="O451" i="1" s="1"/>
  <c r="O452" i="1" s="1"/>
  <c r="O453" i="1" s="1"/>
  <c r="O454" i="1" s="1"/>
  <c r="O455" i="1" s="1"/>
  <c r="O456" i="1" s="1"/>
  <c r="O457" i="1" s="1"/>
  <c r="O458" i="1" s="1"/>
  <c r="O459" i="1" s="1"/>
  <c r="O460" i="1" s="1"/>
  <c r="O461" i="1" s="1"/>
  <c r="O462" i="1" s="1"/>
  <c r="O463" i="1" s="1"/>
  <c r="O464" i="1" s="1"/>
  <c r="O465" i="1" s="1"/>
  <c r="O466" i="1" s="1"/>
  <c r="O467" i="1" s="1"/>
  <c r="O468" i="1" s="1"/>
  <c r="O469" i="1" s="1"/>
  <c r="O470" i="1" s="1"/>
  <c r="O471" i="1" s="1"/>
  <c r="O472" i="1" s="1"/>
  <c r="O473" i="1" s="1"/>
  <c r="O474" i="1" s="1"/>
  <c r="O475" i="1" s="1"/>
  <c r="O476" i="1" s="1"/>
  <c r="O477" i="1" s="1"/>
  <c r="O478" i="1" s="1"/>
  <c r="O479" i="1" s="1"/>
  <c r="O480" i="1" s="1"/>
  <c r="O481" i="1" s="1"/>
  <c r="O482" i="1" s="1"/>
  <c r="O483" i="1" s="1"/>
  <c r="O484" i="1" s="1"/>
  <c r="O485" i="1" s="1"/>
  <c r="O486" i="1" s="1"/>
  <c r="O487" i="1" s="1"/>
  <c r="O488" i="1" s="1"/>
  <c r="O489" i="1" s="1"/>
  <c r="O490" i="1" s="1"/>
  <c r="O491" i="1" s="1"/>
  <c r="O492" i="1" s="1"/>
  <c r="O493" i="1" s="1"/>
  <c r="O494" i="1" s="1"/>
  <c r="O495" i="1" s="1"/>
  <c r="O496" i="1" s="1"/>
  <c r="O497" i="1" s="1"/>
  <c r="O502" i="1" s="1"/>
  <c r="O503" i="1" s="1"/>
  <c r="O504" i="1" s="1"/>
  <c r="O505" i="1" s="1"/>
  <c r="O506" i="1" s="1"/>
  <c r="O507" i="1" s="1"/>
  <c r="O508" i="1" s="1"/>
  <c r="O509" i="1" s="1"/>
  <c r="O510" i="1" s="1"/>
  <c r="O511" i="1" s="1"/>
  <c r="O512" i="1" s="1"/>
  <c r="O513" i="1" s="1"/>
  <c r="O514" i="1" s="1"/>
  <c r="O515" i="1" s="1"/>
  <c r="O516" i="1" s="1"/>
  <c r="O517" i="1" s="1"/>
  <c r="O518" i="1" s="1"/>
  <c r="O519" i="1" s="1"/>
  <c r="O520" i="1" s="1"/>
  <c r="O521" i="1" s="1"/>
  <c r="O522" i="1" s="1"/>
  <c r="O523" i="1" s="1"/>
  <c r="O524" i="1" s="1"/>
  <c r="O525" i="1" s="1"/>
  <c r="O526" i="1" s="1"/>
  <c r="O527" i="1" s="1"/>
  <c r="O528" i="1" s="1"/>
  <c r="O529" i="1" s="1"/>
  <c r="O530" i="1" s="1"/>
  <c r="O531" i="1" s="1"/>
  <c r="O532" i="1" s="1"/>
  <c r="O533" i="1" s="1"/>
  <c r="O534" i="1" s="1"/>
  <c r="O535" i="1" s="1"/>
  <c r="O536" i="1" s="1"/>
  <c r="O537" i="1" s="1"/>
  <c r="O538" i="1" s="1"/>
  <c r="O539" i="1" s="1"/>
  <c r="O540" i="1" s="1"/>
  <c r="O541" i="1" s="1"/>
  <c r="O542" i="1" s="1"/>
  <c r="O543" i="1" s="1"/>
  <c r="O544" i="1" s="1"/>
  <c r="O545" i="1" s="1"/>
  <c r="O546" i="1" s="1"/>
  <c r="O547" i="1" s="1"/>
  <c r="O548" i="1" s="1"/>
  <c r="O549" i="1" s="1"/>
  <c r="O550" i="1" s="1"/>
  <c r="O551" i="1" s="1"/>
  <c r="O552" i="1" s="1"/>
  <c r="O553" i="1" s="1"/>
  <c r="O554" i="1" s="1"/>
  <c r="O555" i="1" s="1"/>
  <c r="O556" i="1" s="1"/>
  <c r="O557" i="1" s="1"/>
  <c r="O558" i="1" s="1"/>
  <c r="O563" i="1" s="1"/>
  <c r="O564" i="1" s="1"/>
  <c r="O565" i="1" s="1"/>
  <c r="O566" i="1" s="1"/>
  <c r="O567" i="1" s="1"/>
  <c r="O568" i="1" s="1"/>
  <c r="O569" i="1" s="1"/>
  <c r="O570" i="1" s="1"/>
  <c r="O571" i="1" s="1"/>
  <c r="O572" i="1" s="1"/>
  <c r="O573" i="1" s="1"/>
  <c r="O574" i="1" s="1"/>
  <c r="O575" i="1" s="1"/>
  <c r="O576" i="1" s="1"/>
  <c r="O577" i="1" s="1"/>
  <c r="O578" i="1" s="1"/>
  <c r="O579" i="1" s="1"/>
  <c r="O580" i="1" s="1"/>
  <c r="O581" i="1" s="1"/>
  <c r="O582" i="1" s="1"/>
  <c r="O583" i="1" s="1"/>
  <c r="O584" i="1" s="1"/>
  <c r="O585" i="1" s="1"/>
  <c r="O586" i="1" s="1"/>
  <c r="O587" i="1" s="1"/>
  <c r="O588" i="1" s="1"/>
  <c r="O589" i="1" s="1"/>
  <c r="O590" i="1" s="1"/>
  <c r="O591" i="1" s="1"/>
  <c r="O592" i="1" s="1"/>
  <c r="O593" i="1" s="1"/>
  <c r="O594" i="1" s="1"/>
  <c r="O595" i="1" s="1"/>
  <c r="O596" i="1" s="1"/>
  <c r="O597" i="1" s="1"/>
  <c r="O598" i="1" s="1"/>
  <c r="O599" i="1" s="1"/>
  <c r="O600" i="1" s="1"/>
  <c r="O601" i="1" s="1"/>
  <c r="O602" i="1" s="1"/>
  <c r="O603" i="1" s="1"/>
  <c r="O604" i="1" s="1"/>
  <c r="O605" i="1" s="1"/>
  <c r="O606" i="1" s="1"/>
  <c r="O607" i="1" s="1"/>
  <c r="O608" i="1" s="1"/>
  <c r="O609" i="1" s="1"/>
  <c r="O610" i="1" s="1"/>
  <c r="O611" i="1" s="1"/>
  <c r="O612" i="1" s="1"/>
  <c r="O613" i="1" s="1"/>
  <c r="O614" i="1" s="1"/>
  <c r="O615" i="1" s="1"/>
  <c r="O616" i="1" s="1"/>
  <c r="O617" i="1" s="1"/>
  <c r="O618" i="1" s="1"/>
  <c r="O619" i="1" s="1"/>
</calcChain>
</file>

<file path=xl/sharedStrings.xml><?xml version="1.0" encoding="utf-8"?>
<sst xmlns="http://schemas.openxmlformats.org/spreadsheetml/2006/main" count="233" uniqueCount="75">
  <si>
    <t>PLANILHA DE CUSTOS - FÁBRICA DE GELO</t>
  </si>
  <si>
    <t>SAÍDA</t>
  </si>
  <si>
    <t>ENTRADA</t>
  </si>
  <si>
    <t>MAQUINA DE GELO</t>
  </si>
  <si>
    <t>SACOS PLÁSTICOS 5KG</t>
  </si>
  <si>
    <t>SACOS PLÁSTICOS 10 KG</t>
  </si>
  <si>
    <t>FREEZER</t>
  </si>
  <si>
    <t>JANELA</t>
  </si>
  <si>
    <t>AR CONDICIONADO</t>
  </si>
  <si>
    <t>SALDO</t>
  </si>
  <si>
    <t>ITENS</t>
  </si>
  <si>
    <t>DATA</t>
  </si>
  <si>
    <t>QUANTID (KG)</t>
  </si>
  <si>
    <t>FEVEREIRO</t>
  </si>
  <si>
    <t>MAQUININHA DE CARTÃO</t>
  </si>
  <si>
    <t>MÃO DE OBRA TRANSF. VOLTAGEM</t>
  </si>
  <si>
    <t>MARÇO</t>
  </si>
  <si>
    <t>FRETE</t>
  </si>
  <si>
    <t>MÃO DE OBRA REFORMA</t>
  </si>
  <si>
    <t>MAT. REFORMA</t>
  </si>
  <si>
    <t>RETIRADA ENTULHO</t>
  </si>
  <si>
    <t>FAIXAS DIVULGAÇÃO</t>
  </si>
  <si>
    <t>SACO GELO 3KG</t>
  </si>
  <si>
    <t>NOVA SELADORA</t>
  </si>
  <si>
    <t>*FOLDER DIVULGAÇÃO</t>
  </si>
  <si>
    <t>BAR CARECA</t>
  </si>
  <si>
    <t>VENDA VAREJO</t>
  </si>
  <si>
    <t>*MÃO DE OBRA LIMP. ENTULHO</t>
  </si>
  <si>
    <t>CHIP VIVO</t>
  </si>
  <si>
    <t>BASCULHANTE</t>
  </si>
  <si>
    <t>BARRA DE FERRO</t>
  </si>
  <si>
    <t>MATERIAL CONST</t>
  </si>
  <si>
    <t>CHAPA PORTÃO</t>
  </si>
  <si>
    <t>SACO</t>
  </si>
  <si>
    <t>VALOR UNIT</t>
  </si>
  <si>
    <t>ABRIL</t>
  </si>
  <si>
    <t>ALEX</t>
  </si>
  <si>
    <t>SILAS</t>
  </si>
  <si>
    <t>ZE-MARIA ( CONSIGNADO)</t>
  </si>
  <si>
    <t xml:space="preserve">QUANTID </t>
  </si>
  <si>
    <t>SACO (KG)</t>
  </si>
  <si>
    <t>NOVO FREEZER</t>
  </si>
  <si>
    <t xml:space="preserve">CLIENTES </t>
  </si>
  <si>
    <t>CLIENTES</t>
  </si>
  <si>
    <t>MAIO</t>
  </si>
  <si>
    <t>FLUXO DE CAIXA - FEVEREIRO</t>
  </si>
  <si>
    <t>FLUXO DE CAIXA - MARÇO</t>
  </si>
  <si>
    <t>FLUXO DE CAIXA - ABRIL</t>
  </si>
  <si>
    <t>FLUXO DE CAIXA - MAIO</t>
  </si>
  <si>
    <t>FLUXO DE CAIXA - JUNHO</t>
  </si>
  <si>
    <t>JUNHO</t>
  </si>
  <si>
    <t>FLUXO DE CAIXA - JULHO</t>
  </si>
  <si>
    <t>JULHO</t>
  </si>
  <si>
    <t>FLUXO DE CAIXA - AGOSTO</t>
  </si>
  <si>
    <t>AGOSTO</t>
  </si>
  <si>
    <t>FLUXO DE CAIXA - SETEMBRO</t>
  </si>
  <si>
    <t>SETEMBRO</t>
  </si>
  <si>
    <t>FLUXO DE CAIXA - OUTUBRO</t>
  </si>
  <si>
    <t>OUTUBRO</t>
  </si>
  <si>
    <t>FLUXO DE CAIXA - NOVEMBRO</t>
  </si>
  <si>
    <t>NOVEMBRO</t>
  </si>
  <si>
    <t xml:space="preserve"> FLUXO DE CAIXA - DEZEMBRO</t>
  </si>
  <si>
    <t>DEZEMBRO</t>
  </si>
  <si>
    <t>VENDAS NO MÊS</t>
  </si>
  <si>
    <t>RESUMO FEVEREIRO</t>
  </si>
  <si>
    <t>RESUMO MARÇO</t>
  </si>
  <si>
    <t>RESUMO ABRIL</t>
  </si>
  <si>
    <t>RESUMO MAIO</t>
  </si>
  <si>
    <t>RESUMO JUNHO</t>
  </si>
  <si>
    <t>RESUMO JULHO</t>
  </si>
  <si>
    <t>RESUMO AGOSTO</t>
  </si>
  <si>
    <t>RESUMO SETEMBRO</t>
  </si>
  <si>
    <t>RESUMO OUTUBRO</t>
  </si>
  <si>
    <t>RESUMO NOVEMBRO</t>
  </si>
  <si>
    <t>RESUMO DEZEMBRO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</si>
</sst>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44" fontId="0" fillId="0" borderId="0" xfId="0" applyNumberFormat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44" fontId="3" fillId="0" borderId="4" xfId="1" applyFont="1" applyBorder="1" applyAlignment="1">
      <alignment horizontal="center" vertical="center"/>
    </xf>
    <xf numFmtId="44" fontId="4" fillId="0" borderId="4" xfId="1" applyFont="1" applyBorder="1" applyAlignment="1">
      <alignment horizontal="center" vertical="center"/>
    </xf>
    <xf numFmtId="44" fontId="4" fillId="0" borderId="16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4" fontId="3" fillId="0" borderId="1" xfId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44" fontId="5" fillId="0" borderId="1" xfId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4" fontId="3" fillId="0" borderId="1" xfId="1" applyFont="1" applyBorder="1" applyAlignment="1">
      <alignment vertical="center"/>
    </xf>
    <xf numFmtId="44" fontId="4" fillId="0" borderId="1" xfId="1" applyFont="1" applyBorder="1" applyAlignment="1">
      <alignment horizontal="center" vertical="center"/>
    </xf>
    <xf numFmtId="44" fontId="5" fillId="0" borderId="1" xfId="1" applyFont="1" applyBorder="1" applyAlignment="1">
      <alignment vertical="center"/>
    </xf>
    <xf numFmtId="0" fontId="4" fillId="0" borderId="15" xfId="0" applyFont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44" fontId="4" fillId="0" borderId="18" xfId="1" applyFont="1" applyBorder="1" applyAlignment="1">
      <alignment horizontal="center" vertical="center"/>
    </xf>
    <xf numFmtId="44" fontId="4" fillId="0" borderId="18" xfId="0" applyNumberFormat="1" applyFont="1" applyBorder="1" applyAlignment="1">
      <alignment horizontal="center" vertical="center"/>
    </xf>
    <xf numFmtId="44" fontId="6" fillId="0" borderId="11" xfId="0" applyNumberFormat="1" applyFont="1" applyBorder="1" applyAlignment="1">
      <alignment horizontal="center" vertical="center"/>
    </xf>
    <xf numFmtId="44" fontId="6" fillId="0" borderId="3" xfId="0" applyNumberFormat="1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4" fontId="4" fillId="0" borderId="13" xfId="1" applyFont="1" applyBorder="1" applyAlignment="1">
      <alignment horizontal="center" vertical="center"/>
    </xf>
    <xf numFmtId="44" fontId="4" fillId="0" borderId="14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4" fontId="4" fillId="0" borderId="26" xfId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4" fillId="0" borderId="0" xfId="0" applyNumberFormat="1" applyFont="1" applyAlignment="1">
      <alignment horizontal="center" vertical="center"/>
    </xf>
    <xf numFmtId="44" fontId="4" fillId="0" borderId="2" xfId="1" applyFont="1" applyBorder="1" applyAlignment="1">
      <alignment horizontal="center" vertical="center"/>
    </xf>
    <xf numFmtId="44" fontId="6" fillId="0" borderId="3" xfId="1" applyFont="1" applyBorder="1" applyAlignment="1">
      <alignment horizontal="center" vertical="center"/>
    </xf>
    <xf numFmtId="44" fontId="4" fillId="0" borderId="27" xfId="1" applyFont="1" applyBorder="1" applyAlignment="1">
      <alignment horizontal="center" vertical="center"/>
    </xf>
    <xf numFmtId="16" fontId="4" fillId="0" borderId="15" xfId="0" applyNumberFormat="1" applyFont="1" applyBorder="1" applyAlignment="1">
      <alignment horizontal="center" vertical="center"/>
    </xf>
    <xf numFmtId="16" fontId="3" fillId="0" borderId="15" xfId="0" applyNumberFormat="1" applyFont="1" applyBorder="1" applyAlignment="1">
      <alignment horizontal="center" vertical="center"/>
    </xf>
    <xf numFmtId="44" fontId="6" fillId="0" borderId="0" xfId="0" applyNumberFormat="1" applyFont="1" applyAlignment="1">
      <alignment horizontal="center" vertical="center"/>
    </xf>
    <xf numFmtId="44" fontId="6" fillId="0" borderId="0" xfId="1" applyFont="1" applyBorder="1" applyAlignment="1">
      <alignment horizontal="center" vertical="center"/>
    </xf>
    <xf numFmtId="0" fontId="2" fillId="0" borderId="28" xfId="0" applyFont="1" applyBorder="1" applyAlignment="1">
      <alignment horizontal="center" vertical="center"/>
    </xf>
    <xf numFmtId="44" fontId="6" fillId="0" borderId="5" xfId="0" applyNumberFormat="1" applyFont="1" applyBorder="1" applyAlignment="1">
      <alignment horizontal="center" vertical="center"/>
    </xf>
    <xf numFmtId="44" fontId="6" fillId="0" borderId="7" xfId="1" applyFont="1" applyBorder="1" applyAlignment="1">
      <alignment horizontal="center" vertical="center"/>
    </xf>
    <xf numFmtId="44" fontId="6" fillId="0" borderId="29" xfId="0" applyNumberFormat="1" applyFont="1" applyBorder="1" applyAlignment="1">
      <alignment horizontal="center" vertical="center"/>
    </xf>
    <xf numFmtId="44" fontId="6" fillId="0" borderId="5" xfId="1" applyFont="1" applyBorder="1" applyAlignment="1">
      <alignment horizontal="center" vertical="center"/>
    </xf>
    <xf numFmtId="44" fontId="6" fillId="0" borderId="6" xfId="1" applyFont="1" applyBorder="1" applyAlignment="1">
      <alignment horizontal="center" vertical="center"/>
    </xf>
    <xf numFmtId="16" fontId="4" fillId="0" borderId="19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4" fontId="4" fillId="0" borderId="16" xfId="1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44" fontId="4" fillId="0" borderId="31" xfId="1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8" fillId="4" borderId="20" xfId="0" applyFont="1" applyFill="1" applyBorder="1" applyAlignment="1">
      <alignment horizontal="center" vertical="center" textRotation="90" wrapText="1"/>
    </xf>
    <xf numFmtId="0" fontId="8" fillId="4" borderId="21" xfId="0" applyFont="1" applyFill="1" applyBorder="1" applyAlignment="1">
      <alignment horizontal="center" vertical="center" textRotation="90" wrapText="1"/>
    </xf>
    <xf numFmtId="0" fontId="8" fillId="4" borderId="22" xfId="0" applyFont="1" applyFill="1" applyBorder="1" applyAlignment="1">
      <alignment horizontal="center" vertical="center" textRotation="90" wrapText="1"/>
    </xf>
    <xf numFmtId="0" fontId="2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8" fillId="4" borderId="30" xfId="0" applyFont="1" applyFill="1" applyBorder="1" applyAlignment="1">
      <alignment horizontal="center" vertical="center" textRotation="90" wrapText="1"/>
    </xf>
    <xf numFmtId="44" fontId="4" fillId="0" borderId="31" xfId="0" applyNumberFormat="1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44" fontId="0" fillId="0" borderId="32" xfId="1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44" fontId="0" fillId="0" borderId="33" xfId="1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44" fontId="0" fillId="0" borderId="34" xfId="1" applyFont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44" fontId="2" fillId="5" borderId="10" xfId="0" applyNumberFormat="1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0A859-5FFC-4740-9EDE-6734F2B6A5D5}">
  <dimension ref="B1:R619"/>
  <sheetViews>
    <sheetView tabSelected="1" topLeftCell="A556" zoomScale="80" zoomScaleNormal="80" workbookViewId="0">
      <selection activeCell="Q560" sqref="Q560"/>
    </sheetView>
  </sheetViews>
  <sheetFormatPr defaultRowHeight="14.5" x14ac:dyDescent="0.35"/>
  <cols>
    <col min="1" max="1" width="8.7265625" style="1"/>
    <col min="2" max="2" width="35.26953125" style="1" hidden="1" customWidth="1"/>
    <col min="3" max="3" width="15.1796875" style="1" hidden="1" customWidth="1"/>
    <col min="4" max="4" width="13.54296875" style="1" hidden="1" customWidth="1"/>
    <col min="5" max="5" width="14.54296875" style="1" hidden="1" customWidth="1"/>
    <col min="6" max="6" width="5.36328125" style="1" customWidth="1"/>
    <col min="7" max="7" width="7.6328125" style="1" customWidth="1"/>
    <col min="8" max="8" width="15" style="1" customWidth="1"/>
    <col min="9" max="9" width="14.26953125" style="1" bestFit="1" customWidth="1"/>
    <col min="10" max="11" width="14.26953125" style="1" customWidth="1"/>
    <col min="12" max="12" width="31.08984375" style="1" bestFit="1" customWidth="1"/>
    <col min="13" max="13" width="17.1796875" style="1" customWidth="1"/>
    <col min="14" max="14" width="15.26953125" style="1" customWidth="1"/>
    <col min="15" max="15" width="17.36328125" style="1" customWidth="1"/>
    <col min="16" max="16" width="8.7265625" style="1"/>
    <col min="17" max="17" width="17.81640625" style="1" customWidth="1"/>
    <col min="18" max="18" width="10.54296875" style="1" bestFit="1" customWidth="1"/>
    <col min="19" max="16384" width="8.7265625" style="1"/>
  </cols>
  <sheetData>
    <row r="1" spans="2:18" ht="28.5" customHeight="1" thickBot="1" x14ac:dyDescent="0.4">
      <c r="B1" s="67" t="s">
        <v>0</v>
      </c>
      <c r="C1" s="68"/>
      <c r="D1" s="68"/>
      <c r="E1" s="69"/>
      <c r="F1" s="9"/>
      <c r="H1" s="61" t="s">
        <v>45</v>
      </c>
      <c r="I1" s="62"/>
      <c r="J1" s="62"/>
      <c r="K1" s="62"/>
      <c r="L1" s="62"/>
      <c r="M1" s="62"/>
      <c r="N1" s="62"/>
      <c r="O1" s="63"/>
    </row>
    <row r="2" spans="2:18" ht="30" customHeight="1" thickBot="1" x14ac:dyDescent="0.4">
      <c r="B2" s="3" t="s">
        <v>10</v>
      </c>
      <c r="C2" s="4" t="s">
        <v>1</v>
      </c>
      <c r="D2" s="4" t="s">
        <v>2</v>
      </c>
      <c r="E2" s="5" t="s">
        <v>9</v>
      </c>
      <c r="F2" s="8"/>
      <c r="G2" s="64" t="s">
        <v>13</v>
      </c>
      <c r="H2" s="48" t="s">
        <v>11</v>
      </c>
      <c r="I2" s="11" t="s">
        <v>39</v>
      </c>
      <c r="J2" s="11" t="s">
        <v>40</v>
      </c>
      <c r="K2" s="11" t="s">
        <v>34</v>
      </c>
      <c r="L2" s="11" t="s">
        <v>42</v>
      </c>
      <c r="M2" s="11" t="s">
        <v>2</v>
      </c>
      <c r="N2" s="11" t="s">
        <v>1</v>
      </c>
      <c r="O2" s="12" t="s">
        <v>9</v>
      </c>
    </row>
    <row r="3" spans="2:18" ht="14" customHeight="1" x14ac:dyDescent="0.35">
      <c r="B3" s="13" t="s">
        <v>3</v>
      </c>
      <c r="C3" s="14">
        <v>15471</v>
      </c>
      <c r="D3" s="15">
        <v>835</v>
      </c>
      <c r="E3" s="16">
        <f>C45</f>
        <v>26743.029999999995</v>
      </c>
      <c r="F3" s="2"/>
      <c r="G3" s="65"/>
      <c r="H3" s="31"/>
      <c r="I3" s="32">
        <v>12</v>
      </c>
      <c r="J3" s="32">
        <v>5</v>
      </c>
      <c r="K3" s="33">
        <v>5</v>
      </c>
      <c r="L3" s="32" t="s">
        <v>25</v>
      </c>
      <c r="M3" s="33">
        <f>K3*I3</f>
        <v>60</v>
      </c>
      <c r="N3" s="33">
        <v>0</v>
      </c>
      <c r="O3" s="34">
        <f>M3</f>
        <v>60</v>
      </c>
    </row>
    <row r="4" spans="2:18" ht="16.5" thickBot="1" x14ac:dyDescent="0.4">
      <c r="B4" s="17"/>
      <c r="C4" s="18"/>
      <c r="D4" s="15">
        <v>0</v>
      </c>
      <c r="E4" s="16">
        <f>E3-D3</f>
        <v>25908.029999999995</v>
      </c>
      <c r="F4" s="2"/>
      <c r="G4" s="65"/>
      <c r="H4" s="25"/>
      <c r="I4" s="35">
        <v>1</v>
      </c>
      <c r="J4" s="35">
        <v>5</v>
      </c>
      <c r="K4" s="23">
        <v>8</v>
      </c>
      <c r="L4" s="35" t="s">
        <v>26</v>
      </c>
      <c r="M4" s="23">
        <f t="shared" ref="M4:M24" si="0">K4*I4</f>
        <v>8</v>
      </c>
      <c r="N4" s="23">
        <v>0</v>
      </c>
      <c r="O4" s="36">
        <f>O3+M4</f>
        <v>68</v>
      </c>
    </row>
    <row r="5" spans="2:18" ht="16.5" thickBot="1" x14ac:dyDescent="0.4">
      <c r="B5" s="17" t="s">
        <v>4</v>
      </c>
      <c r="C5" s="18">
        <v>257.82</v>
      </c>
      <c r="D5" s="15">
        <v>0</v>
      </c>
      <c r="E5" s="16">
        <f t="shared" ref="E5:E44" si="1">E4-D4</f>
        <v>25908.029999999995</v>
      </c>
      <c r="F5" s="2"/>
      <c r="G5" s="65"/>
      <c r="H5" s="25"/>
      <c r="I5" s="35">
        <v>5</v>
      </c>
      <c r="J5" s="35">
        <v>5</v>
      </c>
      <c r="K5" s="23">
        <v>10</v>
      </c>
      <c r="L5" s="35" t="s">
        <v>26</v>
      </c>
      <c r="M5" s="23">
        <f t="shared" si="0"/>
        <v>50</v>
      </c>
      <c r="N5" s="23">
        <v>0</v>
      </c>
      <c r="O5" s="36">
        <f t="shared" ref="O5:O24" si="2">O4+M5</f>
        <v>118</v>
      </c>
      <c r="Q5" s="80" t="s">
        <v>64</v>
      </c>
      <c r="R5" s="81"/>
    </row>
    <row r="6" spans="2:18" ht="16" x14ac:dyDescent="0.35">
      <c r="B6" s="17" t="s">
        <v>5</v>
      </c>
      <c r="C6" s="18">
        <v>297.95999999999998</v>
      </c>
      <c r="D6" s="15">
        <v>0</v>
      </c>
      <c r="E6" s="16">
        <f t="shared" si="1"/>
        <v>25908.029999999995</v>
      </c>
      <c r="F6" s="2"/>
      <c r="G6" s="65"/>
      <c r="H6" s="44">
        <v>46077</v>
      </c>
      <c r="I6" s="35">
        <v>10</v>
      </c>
      <c r="J6" s="35">
        <v>5</v>
      </c>
      <c r="K6" s="23">
        <v>5</v>
      </c>
      <c r="L6" s="35" t="s">
        <v>25</v>
      </c>
      <c r="M6" s="23">
        <f t="shared" si="0"/>
        <v>50</v>
      </c>
      <c r="N6" s="23">
        <v>0</v>
      </c>
      <c r="O6" s="36">
        <f t="shared" si="2"/>
        <v>168</v>
      </c>
      <c r="Q6" s="72" t="s">
        <v>25</v>
      </c>
      <c r="R6" s="73">
        <v>146.5</v>
      </c>
    </row>
    <row r="7" spans="2:18" ht="16" x14ac:dyDescent="0.35">
      <c r="B7" s="17" t="s">
        <v>5</v>
      </c>
      <c r="C7" s="18">
        <v>595.91999999999996</v>
      </c>
      <c r="D7" s="15">
        <v>0</v>
      </c>
      <c r="E7" s="16">
        <f t="shared" si="1"/>
        <v>25908.029999999995</v>
      </c>
      <c r="F7" s="2"/>
      <c r="G7" s="65"/>
      <c r="H7" s="44">
        <v>46077</v>
      </c>
      <c r="I7" s="35">
        <v>2</v>
      </c>
      <c r="J7" s="35">
        <v>10</v>
      </c>
      <c r="K7" s="23">
        <v>9.5</v>
      </c>
      <c r="L7" s="35" t="s">
        <v>25</v>
      </c>
      <c r="M7" s="23">
        <f t="shared" si="0"/>
        <v>19</v>
      </c>
      <c r="N7" s="23">
        <v>0</v>
      </c>
      <c r="O7" s="36">
        <f t="shared" si="2"/>
        <v>187</v>
      </c>
      <c r="Q7" s="74" t="s">
        <v>36</v>
      </c>
      <c r="R7" s="75">
        <v>50</v>
      </c>
    </row>
    <row r="8" spans="2:18" ht="16" x14ac:dyDescent="0.35">
      <c r="B8" s="17" t="s">
        <v>15</v>
      </c>
      <c r="C8" s="18">
        <v>500</v>
      </c>
      <c r="D8" s="15">
        <v>0</v>
      </c>
      <c r="E8" s="16">
        <f t="shared" si="1"/>
        <v>25908.029999999995</v>
      </c>
      <c r="F8" s="2"/>
      <c r="G8" s="65"/>
      <c r="H8" s="44">
        <v>46077</v>
      </c>
      <c r="I8" s="35">
        <v>5</v>
      </c>
      <c r="J8" s="35">
        <v>3</v>
      </c>
      <c r="K8" s="23">
        <v>3.5</v>
      </c>
      <c r="L8" s="35" t="s">
        <v>25</v>
      </c>
      <c r="M8" s="23">
        <f t="shared" si="0"/>
        <v>17.5</v>
      </c>
      <c r="N8" s="23">
        <v>0</v>
      </c>
      <c r="O8" s="36">
        <f t="shared" si="2"/>
        <v>204.5</v>
      </c>
      <c r="Q8" s="74" t="s">
        <v>37</v>
      </c>
      <c r="R8" s="75">
        <v>42.5</v>
      </c>
    </row>
    <row r="9" spans="2:18" ht="16.5" thickBot="1" x14ac:dyDescent="0.4">
      <c r="B9" s="17" t="s">
        <v>6</v>
      </c>
      <c r="C9" s="18">
        <v>2200</v>
      </c>
      <c r="D9" s="15">
        <v>0</v>
      </c>
      <c r="E9" s="16">
        <f t="shared" si="1"/>
        <v>25908.029999999995</v>
      </c>
      <c r="F9" s="2"/>
      <c r="G9" s="65"/>
      <c r="H9" s="44">
        <v>46078</v>
      </c>
      <c r="I9" s="35">
        <v>10</v>
      </c>
      <c r="J9" s="35">
        <v>3</v>
      </c>
      <c r="K9" s="23">
        <v>5</v>
      </c>
      <c r="L9" s="35" t="s">
        <v>36</v>
      </c>
      <c r="M9" s="23">
        <f t="shared" si="0"/>
        <v>50</v>
      </c>
      <c r="N9" s="23">
        <v>0</v>
      </c>
      <c r="O9" s="36">
        <f t="shared" si="2"/>
        <v>254.5</v>
      </c>
      <c r="Q9" s="76" t="s">
        <v>26</v>
      </c>
      <c r="R9" s="77">
        <v>58</v>
      </c>
    </row>
    <row r="10" spans="2:18" ht="16.5" thickBot="1" x14ac:dyDescent="0.4">
      <c r="B10" s="17" t="s">
        <v>17</v>
      </c>
      <c r="C10" s="18">
        <v>150</v>
      </c>
      <c r="D10" s="15">
        <v>0</v>
      </c>
      <c r="E10" s="16">
        <f t="shared" si="1"/>
        <v>25908.029999999995</v>
      </c>
      <c r="F10" s="2"/>
      <c r="G10" s="65"/>
      <c r="H10" s="44">
        <v>46079</v>
      </c>
      <c r="I10" s="35">
        <v>5</v>
      </c>
      <c r="J10" s="35">
        <v>5</v>
      </c>
      <c r="K10" s="23">
        <v>5</v>
      </c>
      <c r="L10" s="35" t="s">
        <v>37</v>
      </c>
      <c r="M10" s="23">
        <f t="shared" si="0"/>
        <v>25</v>
      </c>
      <c r="N10" s="23">
        <v>0</v>
      </c>
      <c r="O10" s="36">
        <f t="shared" si="2"/>
        <v>279.5</v>
      </c>
      <c r="Q10" s="78" t="s">
        <v>63</v>
      </c>
      <c r="R10" s="79">
        <f>SUM(R6:R9)</f>
        <v>297</v>
      </c>
    </row>
    <row r="11" spans="2:18" ht="16" x14ac:dyDescent="0.35">
      <c r="B11" s="17" t="s">
        <v>8</v>
      </c>
      <c r="C11" s="18">
        <v>1750</v>
      </c>
      <c r="D11" s="15">
        <v>0</v>
      </c>
      <c r="E11" s="16">
        <f t="shared" si="1"/>
        <v>25908.029999999995</v>
      </c>
      <c r="F11" s="2"/>
      <c r="G11" s="65"/>
      <c r="H11" s="44">
        <v>46079</v>
      </c>
      <c r="I11" s="35">
        <v>5</v>
      </c>
      <c r="J11" s="35">
        <v>3</v>
      </c>
      <c r="K11" s="23">
        <v>3.5</v>
      </c>
      <c r="L11" s="35" t="s">
        <v>37</v>
      </c>
      <c r="M11" s="23">
        <f t="shared" si="0"/>
        <v>17.5</v>
      </c>
      <c r="N11" s="23">
        <v>0</v>
      </c>
      <c r="O11" s="36">
        <f t="shared" si="2"/>
        <v>297</v>
      </c>
    </row>
    <row r="12" spans="2:18" ht="16" x14ac:dyDescent="0.35">
      <c r="B12" s="17" t="s">
        <v>14</v>
      </c>
      <c r="C12" s="18">
        <v>209</v>
      </c>
      <c r="D12" s="15">
        <v>0</v>
      </c>
      <c r="E12" s="16">
        <f t="shared" si="1"/>
        <v>25908.029999999995</v>
      </c>
      <c r="F12" s="2"/>
      <c r="G12" s="65"/>
      <c r="H12" s="45">
        <v>46078</v>
      </c>
      <c r="I12" s="21">
        <v>6</v>
      </c>
      <c r="J12" s="21">
        <v>5</v>
      </c>
      <c r="K12" s="18"/>
      <c r="L12" s="21" t="s">
        <v>38</v>
      </c>
      <c r="M12" s="23">
        <f t="shared" si="0"/>
        <v>0</v>
      </c>
      <c r="N12" s="23">
        <v>0</v>
      </c>
      <c r="O12" s="36">
        <f t="shared" si="2"/>
        <v>297</v>
      </c>
    </row>
    <row r="13" spans="2:18" ht="16" x14ac:dyDescent="0.35">
      <c r="B13" s="19" t="s">
        <v>27</v>
      </c>
      <c r="C13" s="20">
        <v>100</v>
      </c>
      <c r="D13" s="15">
        <v>0</v>
      </c>
      <c r="E13" s="16">
        <f t="shared" si="1"/>
        <v>25908.029999999995</v>
      </c>
      <c r="F13" s="2"/>
      <c r="G13" s="65"/>
      <c r="H13" s="45">
        <v>46078</v>
      </c>
      <c r="I13" s="21">
        <v>6</v>
      </c>
      <c r="J13" s="21">
        <v>3</v>
      </c>
      <c r="K13" s="18"/>
      <c r="L13" s="21" t="s">
        <v>38</v>
      </c>
      <c r="M13" s="23">
        <f t="shared" si="0"/>
        <v>0</v>
      </c>
      <c r="N13" s="23">
        <v>0</v>
      </c>
      <c r="O13" s="36">
        <f t="shared" si="2"/>
        <v>297</v>
      </c>
    </row>
    <row r="14" spans="2:18" ht="16" x14ac:dyDescent="0.35">
      <c r="B14" s="17" t="s">
        <v>19</v>
      </c>
      <c r="C14" s="18">
        <v>293</v>
      </c>
      <c r="D14" s="15">
        <v>0</v>
      </c>
      <c r="E14" s="16">
        <f t="shared" si="1"/>
        <v>25908.029999999995</v>
      </c>
      <c r="F14" s="2"/>
      <c r="G14" s="65"/>
      <c r="H14" s="25"/>
      <c r="I14" s="35"/>
      <c r="J14" s="35"/>
      <c r="K14" s="35"/>
      <c r="L14" s="35"/>
      <c r="M14" s="23">
        <f t="shared" si="0"/>
        <v>0</v>
      </c>
      <c r="N14" s="23">
        <v>0</v>
      </c>
      <c r="O14" s="36">
        <f t="shared" si="2"/>
        <v>297</v>
      </c>
    </row>
    <row r="15" spans="2:18" ht="16" x14ac:dyDescent="0.35">
      <c r="B15" s="17" t="s">
        <v>20</v>
      </c>
      <c r="C15" s="18">
        <v>30</v>
      </c>
      <c r="D15" s="15">
        <v>0</v>
      </c>
      <c r="E15" s="16">
        <f t="shared" si="1"/>
        <v>25908.029999999995</v>
      </c>
      <c r="F15" s="2"/>
      <c r="G15" s="65"/>
      <c r="H15" s="25"/>
      <c r="I15" s="35"/>
      <c r="J15" s="35"/>
      <c r="K15" s="35"/>
      <c r="L15" s="35"/>
      <c r="M15" s="23">
        <f t="shared" si="0"/>
        <v>0</v>
      </c>
      <c r="N15" s="23">
        <v>0</v>
      </c>
      <c r="O15" s="36">
        <f t="shared" si="2"/>
        <v>297</v>
      </c>
    </row>
    <row r="16" spans="2:18" ht="17" customHeight="1" x14ac:dyDescent="0.35">
      <c r="B16" s="17" t="s">
        <v>21</v>
      </c>
      <c r="C16" s="22">
        <v>99.8</v>
      </c>
      <c r="D16" s="15">
        <v>0</v>
      </c>
      <c r="E16" s="16">
        <f t="shared" si="1"/>
        <v>25908.029999999995</v>
      </c>
      <c r="F16" s="2"/>
      <c r="G16" s="65"/>
      <c r="H16" s="25"/>
      <c r="I16" s="35"/>
      <c r="J16" s="35"/>
      <c r="K16" s="35"/>
      <c r="L16" s="35"/>
      <c r="M16" s="23">
        <f t="shared" si="0"/>
        <v>0</v>
      </c>
      <c r="N16" s="23">
        <v>0</v>
      </c>
      <c r="O16" s="36">
        <f t="shared" si="2"/>
        <v>297</v>
      </c>
    </row>
    <row r="17" spans="2:18" ht="17.5" customHeight="1" x14ac:dyDescent="0.35">
      <c r="B17" s="17" t="s">
        <v>22</v>
      </c>
      <c r="C17" s="22">
        <v>145.03</v>
      </c>
      <c r="D17" s="15">
        <v>0</v>
      </c>
      <c r="E17" s="16">
        <f t="shared" si="1"/>
        <v>25908.029999999995</v>
      </c>
      <c r="F17" s="2"/>
      <c r="G17" s="65"/>
      <c r="H17" s="25"/>
      <c r="I17" s="35"/>
      <c r="J17" s="35"/>
      <c r="K17" s="35"/>
      <c r="L17" s="35"/>
      <c r="M17" s="23">
        <f t="shared" si="0"/>
        <v>0</v>
      </c>
      <c r="N17" s="23">
        <v>0</v>
      </c>
      <c r="O17" s="36">
        <f t="shared" si="2"/>
        <v>297</v>
      </c>
    </row>
    <row r="18" spans="2:18" ht="16" x14ac:dyDescent="0.35">
      <c r="B18" s="17" t="s">
        <v>23</v>
      </c>
      <c r="C18" s="18">
        <v>704.78</v>
      </c>
      <c r="D18" s="23">
        <v>0</v>
      </c>
      <c r="E18" s="16">
        <f t="shared" si="1"/>
        <v>25908.029999999995</v>
      </c>
      <c r="F18" s="2"/>
      <c r="G18" s="65"/>
      <c r="H18" s="25"/>
      <c r="I18" s="35"/>
      <c r="J18" s="35"/>
      <c r="K18" s="35"/>
      <c r="L18" s="35"/>
      <c r="M18" s="23">
        <f t="shared" si="0"/>
        <v>0</v>
      </c>
      <c r="N18" s="23">
        <v>0</v>
      </c>
      <c r="O18" s="36">
        <f t="shared" si="2"/>
        <v>297</v>
      </c>
    </row>
    <row r="19" spans="2:18" ht="20.5" customHeight="1" x14ac:dyDescent="0.35">
      <c r="B19" s="19" t="s">
        <v>24</v>
      </c>
      <c r="C19" s="24">
        <v>150</v>
      </c>
      <c r="D19" s="23">
        <v>0</v>
      </c>
      <c r="E19" s="16">
        <f t="shared" si="1"/>
        <v>25908.029999999995</v>
      </c>
      <c r="F19" s="2"/>
      <c r="G19" s="65"/>
      <c r="H19" s="25"/>
      <c r="I19" s="35"/>
      <c r="J19" s="35"/>
      <c r="K19" s="35"/>
      <c r="L19" s="35"/>
      <c r="M19" s="23">
        <f t="shared" si="0"/>
        <v>0</v>
      </c>
      <c r="N19" s="23">
        <v>0</v>
      </c>
      <c r="O19" s="36">
        <f t="shared" si="2"/>
        <v>297</v>
      </c>
    </row>
    <row r="20" spans="2:18" ht="16" x14ac:dyDescent="0.35">
      <c r="B20" s="17" t="s">
        <v>7</v>
      </c>
      <c r="C20" s="22">
        <v>320.39</v>
      </c>
      <c r="D20" s="23">
        <v>0</v>
      </c>
      <c r="E20" s="16">
        <f t="shared" si="1"/>
        <v>25908.029999999995</v>
      </c>
      <c r="F20" s="2"/>
      <c r="G20" s="65"/>
      <c r="H20" s="25"/>
      <c r="I20" s="35"/>
      <c r="J20" s="35"/>
      <c r="K20" s="35"/>
      <c r="L20" s="35"/>
      <c r="M20" s="23">
        <f t="shared" si="0"/>
        <v>0</v>
      </c>
      <c r="N20" s="23">
        <v>0</v>
      </c>
      <c r="O20" s="36">
        <f t="shared" si="2"/>
        <v>297</v>
      </c>
    </row>
    <row r="21" spans="2:18" ht="16" x14ac:dyDescent="0.35">
      <c r="B21" s="17" t="s">
        <v>29</v>
      </c>
      <c r="C21" s="18">
        <v>197.99</v>
      </c>
      <c r="D21" s="23">
        <v>0</v>
      </c>
      <c r="E21" s="16">
        <f t="shared" si="1"/>
        <v>25908.029999999995</v>
      </c>
      <c r="F21" s="2"/>
      <c r="G21" s="65"/>
      <c r="H21" s="25"/>
      <c r="I21" s="35"/>
      <c r="J21" s="35"/>
      <c r="K21" s="35"/>
      <c r="L21" s="35"/>
      <c r="M21" s="23">
        <f t="shared" si="0"/>
        <v>0</v>
      </c>
      <c r="N21" s="23">
        <v>0</v>
      </c>
      <c r="O21" s="36">
        <f t="shared" si="2"/>
        <v>297</v>
      </c>
    </row>
    <row r="22" spans="2:18" ht="16" x14ac:dyDescent="0.35">
      <c r="B22" s="17" t="s">
        <v>30</v>
      </c>
      <c r="C22" s="18">
        <v>186.34</v>
      </c>
      <c r="D22" s="23">
        <v>0</v>
      </c>
      <c r="E22" s="16">
        <f t="shared" si="1"/>
        <v>25908.029999999995</v>
      </c>
      <c r="F22" s="2"/>
      <c r="G22" s="65"/>
      <c r="H22" s="25"/>
      <c r="I22" s="35"/>
      <c r="J22" s="35"/>
      <c r="K22" s="35"/>
      <c r="L22" s="35"/>
      <c r="M22" s="23">
        <f t="shared" si="0"/>
        <v>0</v>
      </c>
      <c r="N22" s="23">
        <v>0</v>
      </c>
      <c r="O22" s="36">
        <f t="shared" si="2"/>
        <v>297</v>
      </c>
    </row>
    <row r="23" spans="2:18" ht="16" x14ac:dyDescent="0.35">
      <c r="B23" s="17" t="s">
        <v>18</v>
      </c>
      <c r="C23" s="18">
        <v>600</v>
      </c>
      <c r="D23" s="23">
        <v>0</v>
      </c>
      <c r="E23" s="16">
        <f t="shared" si="1"/>
        <v>25908.029999999995</v>
      </c>
      <c r="F23" s="2"/>
      <c r="G23" s="65"/>
      <c r="H23" s="25"/>
      <c r="I23" s="35"/>
      <c r="J23" s="35"/>
      <c r="K23" s="35"/>
      <c r="L23" s="35"/>
      <c r="M23" s="23">
        <f t="shared" si="0"/>
        <v>0</v>
      </c>
      <c r="N23" s="23">
        <v>0</v>
      </c>
      <c r="O23" s="36">
        <f t="shared" si="2"/>
        <v>297</v>
      </c>
    </row>
    <row r="24" spans="2:18" ht="16.5" thickBot="1" x14ac:dyDescent="0.4">
      <c r="B24" s="17" t="s">
        <v>28</v>
      </c>
      <c r="C24" s="18">
        <v>58</v>
      </c>
      <c r="D24" s="23">
        <v>0</v>
      </c>
      <c r="E24" s="16">
        <f t="shared" si="1"/>
        <v>25908.029999999995</v>
      </c>
      <c r="F24" s="2"/>
      <c r="G24" s="66"/>
      <c r="H24" s="37"/>
      <c r="I24" s="38"/>
      <c r="J24" s="38"/>
      <c r="K24" s="38"/>
      <c r="L24" s="38"/>
      <c r="M24" s="23">
        <f t="shared" si="0"/>
        <v>0</v>
      </c>
      <c r="N24" s="41">
        <v>0</v>
      </c>
      <c r="O24" s="36">
        <f t="shared" si="2"/>
        <v>297</v>
      </c>
    </row>
    <row r="25" spans="2:18" ht="16.5" thickBot="1" x14ac:dyDescent="0.4">
      <c r="B25" s="17" t="s">
        <v>31</v>
      </c>
      <c r="C25" s="18">
        <v>376</v>
      </c>
      <c r="D25" s="23">
        <v>0</v>
      </c>
      <c r="E25" s="16">
        <f t="shared" si="1"/>
        <v>25908.029999999995</v>
      </c>
      <c r="F25" s="2"/>
      <c r="H25" s="39"/>
      <c r="I25" s="39"/>
      <c r="J25" s="39"/>
      <c r="K25" s="39"/>
      <c r="L25" s="39"/>
      <c r="M25" s="49">
        <f>SUM(M3:M24)</f>
        <v>297</v>
      </c>
      <c r="N25" s="51">
        <f>SUM(N3:N24)</f>
        <v>0</v>
      </c>
      <c r="O25" s="42">
        <f>M25-N25</f>
        <v>297</v>
      </c>
    </row>
    <row r="26" spans="2:18" ht="16" x14ac:dyDescent="0.35">
      <c r="B26" s="17" t="s">
        <v>32</v>
      </c>
      <c r="C26" s="18">
        <v>50</v>
      </c>
      <c r="D26" s="26">
        <v>0</v>
      </c>
      <c r="E26" s="16">
        <f t="shared" si="1"/>
        <v>25908.029999999995</v>
      </c>
      <c r="F26" s="2"/>
      <c r="H26" s="39"/>
      <c r="I26" s="39"/>
      <c r="J26" s="39"/>
      <c r="K26" s="39"/>
      <c r="L26" s="39"/>
      <c r="M26" s="46"/>
      <c r="N26" s="40"/>
      <c r="O26" s="47"/>
    </row>
    <row r="27" spans="2:18" ht="21" customHeight="1" thickBot="1" x14ac:dyDescent="0.4">
      <c r="B27" s="19" t="s">
        <v>41</v>
      </c>
      <c r="C27" s="20">
        <v>2000</v>
      </c>
      <c r="D27" s="26">
        <v>0</v>
      </c>
      <c r="E27" s="16">
        <f t="shared" si="1"/>
        <v>25908.029999999995</v>
      </c>
      <c r="H27" s="39"/>
      <c r="I27" s="39"/>
      <c r="J27" s="39"/>
      <c r="K27" s="39"/>
      <c r="L27" s="39"/>
      <c r="M27" s="39"/>
      <c r="N27" s="40"/>
      <c r="O27" s="39"/>
    </row>
    <row r="28" spans="2:18" ht="23.5" customHeight="1" thickBot="1" x14ac:dyDescent="0.4">
      <c r="B28" s="6"/>
      <c r="C28" s="23">
        <v>0</v>
      </c>
      <c r="D28" s="26">
        <v>0</v>
      </c>
      <c r="E28" s="16">
        <f t="shared" si="1"/>
        <v>25908.029999999995</v>
      </c>
      <c r="H28" s="61" t="s">
        <v>46</v>
      </c>
      <c r="I28" s="62"/>
      <c r="J28" s="62"/>
      <c r="K28" s="62"/>
      <c r="L28" s="62"/>
      <c r="M28" s="62"/>
      <c r="N28" s="62"/>
      <c r="O28" s="63"/>
    </row>
    <row r="29" spans="2:18" ht="25" customHeight="1" x14ac:dyDescent="0.35">
      <c r="B29" s="6"/>
      <c r="C29" s="23">
        <v>0</v>
      </c>
      <c r="D29" s="26">
        <v>0</v>
      </c>
      <c r="E29" s="16">
        <f t="shared" si="1"/>
        <v>25908.029999999995</v>
      </c>
      <c r="G29" s="70" t="s">
        <v>16</v>
      </c>
      <c r="H29" s="57" t="s">
        <v>11</v>
      </c>
      <c r="I29" s="58" t="s">
        <v>12</v>
      </c>
      <c r="J29" s="58" t="s">
        <v>33</v>
      </c>
      <c r="K29" s="58" t="s">
        <v>34</v>
      </c>
      <c r="L29" s="58" t="s">
        <v>43</v>
      </c>
      <c r="M29" s="58" t="s">
        <v>2</v>
      </c>
      <c r="N29" s="58" t="s">
        <v>1</v>
      </c>
      <c r="O29" s="59" t="s">
        <v>9</v>
      </c>
    </row>
    <row r="30" spans="2:18" ht="16.5" thickBot="1" x14ac:dyDescent="0.4">
      <c r="B30" s="6"/>
      <c r="C30" s="23">
        <v>0</v>
      </c>
      <c r="D30" s="26">
        <v>0</v>
      </c>
      <c r="E30" s="16">
        <f t="shared" si="1"/>
        <v>25908.029999999995</v>
      </c>
      <c r="G30" s="65"/>
      <c r="H30" s="54">
        <v>46083</v>
      </c>
      <c r="I30" s="55">
        <v>5</v>
      </c>
      <c r="J30" s="55">
        <v>5</v>
      </c>
      <c r="K30" s="15">
        <v>5</v>
      </c>
      <c r="L30" s="55" t="s">
        <v>37</v>
      </c>
      <c r="M30" s="15">
        <f>K30*I30</f>
        <v>25</v>
      </c>
      <c r="N30" s="15">
        <v>0</v>
      </c>
      <c r="O30" s="56">
        <f>O25+M30-N30</f>
        <v>322</v>
      </c>
    </row>
    <row r="31" spans="2:18" ht="16.5" thickBot="1" x14ac:dyDescent="0.4">
      <c r="B31" s="6"/>
      <c r="C31" s="23">
        <v>0</v>
      </c>
      <c r="D31" s="26">
        <v>0</v>
      </c>
      <c r="E31" s="16">
        <f t="shared" si="1"/>
        <v>25908.029999999995</v>
      </c>
      <c r="G31" s="65"/>
      <c r="H31" s="54">
        <v>46083</v>
      </c>
      <c r="I31" s="35">
        <v>5</v>
      </c>
      <c r="J31" s="35">
        <v>3</v>
      </c>
      <c r="K31" s="23">
        <v>3.5</v>
      </c>
      <c r="L31" s="35" t="s">
        <v>37</v>
      </c>
      <c r="M31" s="23">
        <f t="shared" ref="M31:M85" si="3">K31*I31</f>
        <v>17.5</v>
      </c>
      <c r="N31" s="23">
        <v>0</v>
      </c>
      <c r="O31" s="56">
        <f>O30+M31-N31</f>
        <v>339.5</v>
      </c>
      <c r="Q31" s="80" t="s">
        <v>65</v>
      </c>
      <c r="R31" s="81"/>
    </row>
    <row r="32" spans="2:18" ht="16" x14ac:dyDescent="0.35">
      <c r="B32" s="6"/>
      <c r="C32" s="23">
        <v>0</v>
      </c>
      <c r="D32" s="26">
        <v>0</v>
      </c>
      <c r="E32" s="16">
        <f t="shared" si="1"/>
        <v>25908.029999999995</v>
      </c>
      <c r="G32" s="65"/>
      <c r="H32" s="54">
        <v>46083</v>
      </c>
      <c r="I32" s="35">
        <v>3</v>
      </c>
      <c r="J32" s="35">
        <v>10</v>
      </c>
      <c r="K32" s="23">
        <v>9.5</v>
      </c>
      <c r="L32" s="35" t="s">
        <v>25</v>
      </c>
      <c r="M32" s="23">
        <f t="shared" si="3"/>
        <v>28.5</v>
      </c>
      <c r="N32" s="23">
        <v>0</v>
      </c>
      <c r="O32" s="56">
        <f t="shared" ref="O32:O85" si="4">O31+M32-N32</f>
        <v>368</v>
      </c>
      <c r="Q32" s="72" t="s">
        <v>25</v>
      </c>
      <c r="R32" s="73">
        <v>263</v>
      </c>
    </row>
    <row r="33" spans="2:18" ht="16" x14ac:dyDescent="0.35">
      <c r="B33" s="6"/>
      <c r="C33" s="23">
        <v>0</v>
      </c>
      <c r="D33" s="26">
        <v>0</v>
      </c>
      <c r="E33" s="16">
        <f t="shared" si="1"/>
        <v>25908.029999999995</v>
      </c>
      <c r="G33" s="65"/>
      <c r="H33" s="54">
        <v>46116</v>
      </c>
      <c r="I33" s="35">
        <v>4</v>
      </c>
      <c r="J33" s="35">
        <v>10</v>
      </c>
      <c r="K33" s="23">
        <v>9.5</v>
      </c>
      <c r="L33" s="35" t="s">
        <v>25</v>
      </c>
      <c r="M33" s="23">
        <f t="shared" si="3"/>
        <v>38</v>
      </c>
      <c r="N33" s="23">
        <v>0</v>
      </c>
      <c r="O33" s="56">
        <f t="shared" si="4"/>
        <v>406</v>
      </c>
      <c r="Q33" s="74" t="s">
        <v>36</v>
      </c>
      <c r="R33" s="75">
        <v>35</v>
      </c>
    </row>
    <row r="34" spans="2:18" ht="16" x14ac:dyDescent="0.35">
      <c r="B34" s="6"/>
      <c r="C34" s="23">
        <v>0</v>
      </c>
      <c r="D34" s="26">
        <v>0</v>
      </c>
      <c r="E34" s="16">
        <f t="shared" si="1"/>
        <v>25908.029999999995</v>
      </c>
      <c r="G34" s="65"/>
      <c r="H34" s="54">
        <v>46085</v>
      </c>
      <c r="I34" s="35">
        <v>7</v>
      </c>
      <c r="J34" s="35">
        <v>5</v>
      </c>
      <c r="K34" s="23">
        <v>5</v>
      </c>
      <c r="L34" s="35" t="s">
        <v>25</v>
      </c>
      <c r="M34" s="23">
        <f t="shared" si="3"/>
        <v>35</v>
      </c>
      <c r="N34" s="23">
        <v>0</v>
      </c>
      <c r="O34" s="56">
        <f t="shared" si="4"/>
        <v>441</v>
      </c>
      <c r="Q34" s="74" t="s">
        <v>37</v>
      </c>
      <c r="R34" s="75">
        <v>240</v>
      </c>
    </row>
    <row r="35" spans="2:18" ht="16.5" thickBot="1" x14ac:dyDescent="0.4">
      <c r="B35" s="6"/>
      <c r="C35" s="23">
        <v>0</v>
      </c>
      <c r="D35" s="26">
        <v>0</v>
      </c>
      <c r="E35" s="16">
        <f t="shared" si="1"/>
        <v>25908.029999999995</v>
      </c>
      <c r="G35" s="65"/>
      <c r="H35" s="54">
        <v>46085</v>
      </c>
      <c r="I35" s="35">
        <v>6</v>
      </c>
      <c r="J35" s="35">
        <v>3</v>
      </c>
      <c r="K35" s="23">
        <v>3.5</v>
      </c>
      <c r="L35" s="35" t="s">
        <v>25</v>
      </c>
      <c r="M35" s="23">
        <f t="shared" si="3"/>
        <v>21</v>
      </c>
      <c r="N35" s="23">
        <v>0</v>
      </c>
      <c r="O35" s="56">
        <f t="shared" si="4"/>
        <v>462</v>
      </c>
      <c r="Q35" s="76" t="s">
        <v>26</v>
      </c>
      <c r="R35" s="77">
        <v>0</v>
      </c>
    </row>
    <row r="36" spans="2:18" ht="16.5" thickBot="1" x14ac:dyDescent="0.4">
      <c r="B36" s="6"/>
      <c r="C36" s="23">
        <v>0</v>
      </c>
      <c r="D36" s="26">
        <v>0</v>
      </c>
      <c r="E36" s="16">
        <f t="shared" si="1"/>
        <v>25908.029999999995</v>
      </c>
      <c r="G36" s="65"/>
      <c r="H36" s="54">
        <v>46087</v>
      </c>
      <c r="I36" s="35">
        <v>10</v>
      </c>
      <c r="J36" s="35">
        <v>5</v>
      </c>
      <c r="K36" s="23">
        <v>5</v>
      </c>
      <c r="L36" s="35" t="s">
        <v>37</v>
      </c>
      <c r="M36" s="23">
        <f t="shared" si="3"/>
        <v>50</v>
      </c>
      <c r="N36" s="23">
        <v>0</v>
      </c>
      <c r="O36" s="56">
        <f t="shared" si="4"/>
        <v>512</v>
      </c>
      <c r="Q36" s="78" t="s">
        <v>63</v>
      </c>
      <c r="R36" s="79">
        <f>SUM(R32:R35)</f>
        <v>538</v>
      </c>
    </row>
    <row r="37" spans="2:18" ht="16" x14ac:dyDescent="0.35">
      <c r="B37" s="6"/>
      <c r="C37" s="23">
        <v>0</v>
      </c>
      <c r="D37" s="26">
        <v>0</v>
      </c>
      <c r="E37" s="16">
        <f t="shared" si="1"/>
        <v>25908.029999999995</v>
      </c>
      <c r="G37" s="65"/>
      <c r="H37" s="54">
        <v>46087</v>
      </c>
      <c r="I37" s="35">
        <v>5</v>
      </c>
      <c r="J37" s="35">
        <v>3</v>
      </c>
      <c r="K37" s="23">
        <v>3.5</v>
      </c>
      <c r="L37" s="35" t="s">
        <v>37</v>
      </c>
      <c r="M37" s="23">
        <f t="shared" si="3"/>
        <v>17.5</v>
      </c>
      <c r="N37" s="23">
        <v>0</v>
      </c>
      <c r="O37" s="56">
        <f t="shared" si="4"/>
        <v>529.5</v>
      </c>
    </row>
    <row r="38" spans="2:18" ht="16" x14ac:dyDescent="0.35">
      <c r="B38" s="6"/>
      <c r="C38" s="23">
        <v>0</v>
      </c>
      <c r="D38" s="26">
        <v>0</v>
      </c>
      <c r="E38" s="16">
        <f t="shared" si="1"/>
        <v>25908.029999999995</v>
      </c>
      <c r="G38" s="65"/>
      <c r="H38" s="44">
        <v>46090</v>
      </c>
      <c r="I38" s="35">
        <v>10</v>
      </c>
      <c r="J38" s="35">
        <v>3</v>
      </c>
      <c r="K38" s="23">
        <v>3.5</v>
      </c>
      <c r="L38" s="35" t="s">
        <v>36</v>
      </c>
      <c r="M38" s="23">
        <f t="shared" si="3"/>
        <v>35</v>
      </c>
      <c r="N38" s="23">
        <v>0</v>
      </c>
      <c r="O38" s="56">
        <f t="shared" si="4"/>
        <v>564.5</v>
      </c>
    </row>
    <row r="39" spans="2:18" ht="16" x14ac:dyDescent="0.35">
      <c r="B39" s="6"/>
      <c r="C39" s="23">
        <v>0</v>
      </c>
      <c r="D39" s="26">
        <v>0</v>
      </c>
      <c r="E39" s="16">
        <f t="shared" si="1"/>
        <v>25908.029999999995</v>
      </c>
      <c r="G39" s="65"/>
      <c r="H39" s="44">
        <v>46092</v>
      </c>
      <c r="I39" s="35">
        <v>5</v>
      </c>
      <c r="J39" s="35">
        <v>5</v>
      </c>
      <c r="K39" s="23">
        <v>5</v>
      </c>
      <c r="L39" s="35" t="s">
        <v>37</v>
      </c>
      <c r="M39" s="23">
        <f t="shared" si="3"/>
        <v>25</v>
      </c>
      <c r="N39" s="23">
        <v>0</v>
      </c>
      <c r="O39" s="56">
        <f t="shared" si="4"/>
        <v>589.5</v>
      </c>
    </row>
    <row r="40" spans="2:18" ht="16" x14ac:dyDescent="0.35">
      <c r="B40" s="6"/>
      <c r="C40" s="23">
        <v>0</v>
      </c>
      <c r="D40" s="26">
        <v>0</v>
      </c>
      <c r="E40" s="16">
        <f t="shared" si="1"/>
        <v>25908.029999999995</v>
      </c>
      <c r="G40" s="65"/>
      <c r="H40" s="44">
        <v>46092</v>
      </c>
      <c r="I40" s="35">
        <v>5</v>
      </c>
      <c r="J40" s="35">
        <v>3</v>
      </c>
      <c r="K40" s="23">
        <v>3.5</v>
      </c>
      <c r="L40" s="35" t="s">
        <v>37</v>
      </c>
      <c r="M40" s="23">
        <f t="shared" si="3"/>
        <v>17.5</v>
      </c>
      <c r="N40" s="23">
        <v>0</v>
      </c>
      <c r="O40" s="56">
        <f t="shared" si="4"/>
        <v>607</v>
      </c>
    </row>
    <row r="41" spans="2:18" ht="16" x14ac:dyDescent="0.35">
      <c r="B41" s="6"/>
      <c r="C41" s="23">
        <v>0</v>
      </c>
      <c r="D41" s="26">
        <v>0</v>
      </c>
      <c r="E41" s="16">
        <f t="shared" si="1"/>
        <v>25908.029999999995</v>
      </c>
      <c r="G41" s="65"/>
      <c r="H41" s="44">
        <v>46095</v>
      </c>
      <c r="I41" s="35">
        <v>10</v>
      </c>
      <c r="J41" s="35">
        <v>3</v>
      </c>
      <c r="K41" s="23">
        <v>3.5</v>
      </c>
      <c r="L41" s="35" t="s">
        <v>37</v>
      </c>
      <c r="M41" s="23">
        <f t="shared" si="3"/>
        <v>35</v>
      </c>
      <c r="N41" s="23">
        <v>0</v>
      </c>
      <c r="O41" s="56">
        <f t="shared" si="4"/>
        <v>642</v>
      </c>
    </row>
    <row r="42" spans="2:18" ht="16" x14ac:dyDescent="0.35">
      <c r="B42" s="6"/>
      <c r="C42" s="23">
        <v>0</v>
      </c>
      <c r="D42" s="26">
        <v>0</v>
      </c>
      <c r="E42" s="16">
        <f t="shared" si="1"/>
        <v>25908.029999999995</v>
      </c>
      <c r="G42" s="65"/>
      <c r="H42" s="44">
        <v>46095</v>
      </c>
      <c r="I42" s="35">
        <v>4</v>
      </c>
      <c r="J42" s="35">
        <v>10</v>
      </c>
      <c r="K42" s="23">
        <v>9.5</v>
      </c>
      <c r="L42" s="35" t="s">
        <v>25</v>
      </c>
      <c r="M42" s="23">
        <f t="shared" si="3"/>
        <v>38</v>
      </c>
      <c r="N42" s="23">
        <v>0</v>
      </c>
      <c r="O42" s="56">
        <f t="shared" si="4"/>
        <v>680</v>
      </c>
    </row>
    <row r="43" spans="2:18" ht="16" x14ac:dyDescent="0.35">
      <c r="B43" s="6"/>
      <c r="C43" s="23">
        <v>0</v>
      </c>
      <c r="D43" s="26">
        <v>0</v>
      </c>
      <c r="E43" s="16">
        <f t="shared" si="1"/>
        <v>25908.029999999995</v>
      </c>
      <c r="G43" s="65"/>
      <c r="H43" s="44">
        <v>46095</v>
      </c>
      <c r="I43" s="35">
        <v>8</v>
      </c>
      <c r="J43" s="35">
        <v>5</v>
      </c>
      <c r="K43" s="23">
        <v>5</v>
      </c>
      <c r="L43" s="35" t="s">
        <v>25</v>
      </c>
      <c r="M43" s="23">
        <f t="shared" si="3"/>
        <v>40</v>
      </c>
      <c r="N43" s="23">
        <v>0</v>
      </c>
      <c r="O43" s="56">
        <f t="shared" si="4"/>
        <v>720</v>
      </c>
    </row>
    <row r="44" spans="2:18" ht="16.5" thickBot="1" x14ac:dyDescent="0.4">
      <c r="B44" s="7"/>
      <c r="C44" s="27">
        <v>0</v>
      </c>
      <c r="D44" s="28">
        <v>0</v>
      </c>
      <c r="E44" s="71">
        <f t="shared" si="1"/>
        <v>25908.029999999995</v>
      </c>
      <c r="G44" s="65"/>
      <c r="H44" s="44">
        <v>46095</v>
      </c>
      <c r="I44" s="35">
        <v>7</v>
      </c>
      <c r="J44" s="35">
        <v>3</v>
      </c>
      <c r="K44" s="23">
        <v>3.5</v>
      </c>
      <c r="L44" s="35" t="s">
        <v>25</v>
      </c>
      <c r="M44" s="23">
        <f t="shared" si="3"/>
        <v>24.5</v>
      </c>
      <c r="N44" s="23">
        <v>0</v>
      </c>
      <c r="O44" s="56">
        <f t="shared" si="4"/>
        <v>744.5</v>
      </c>
    </row>
    <row r="45" spans="2:18" ht="19.5" customHeight="1" thickBot="1" x14ac:dyDescent="0.4">
      <c r="C45" s="29">
        <f>SUM(C3:C44)</f>
        <v>26743.029999999995</v>
      </c>
      <c r="D45" s="29">
        <f>SUM(D3:D44)</f>
        <v>835</v>
      </c>
      <c r="E45" s="30">
        <f>E44</f>
        <v>25908.029999999995</v>
      </c>
      <c r="G45" s="65"/>
      <c r="H45" s="44">
        <v>46102</v>
      </c>
      <c r="I45" s="35">
        <v>4</v>
      </c>
      <c r="J45" s="35">
        <v>10</v>
      </c>
      <c r="K45" s="23">
        <v>9.5</v>
      </c>
      <c r="L45" s="35" t="s">
        <v>25</v>
      </c>
      <c r="M45" s="23">
        <f t="shared" si="3"/>
        <v>38</v>
      </c>
      <c r="N45" s="23">
        <v>0</v>
      </c>
      <c r="O45" s="56">
        <f t="shared" si="4"/>
        <v>782.5</v>
      </c>
    </row>
    <row r="46" spans="2:18" ht="16" x14ac:dyDescent="0.35">
      <c r="G46" s="65"/>
      <c r="H46" s="44">
        <v>46109</v>
      </c>
      <c r="I46" s="35">
        <v>15</v>
      </c>
      <c r="J46" s="35">
        <v>3</v>
      </c>
      <c r="K46" s="23">
        <v>3.5</v>
      </c>
      <c r="L46" s="35" t="s">
        <v>37</v>
      </c>
      <c r="M46" s="23">
        <f t="shared" si="3"/>
        <v>52.5</v>
      </c>
      <c r="N46" s="23">
        <v>0</v>
      </c>
      <c r="O46" s="56">
        <f t="shared" si="4"/>
        <v>835</v>
      </c>
    </row>
    <row r="47" spans="2:18" ht="16" x14ac:dyDescent="0.35">
      <c r="G47" s="65"/>
      <c r="H47" s="25"/>
      <c r="I47" s="35"/>
      <c r="J47" s="35"/>
      <c r="K47" s="23"/>
      <c r="L47" s="35"/>
      <c r="M47" s="23">
        <f t="shared" si="3"/>
        <v>0</v>
      </c>
      <c r="N47" s="23">
        <v>0</v>
      </c>
      <c r="O47" s="56">
        <f t="shared" si="4"/>
        <v>835</v>
      </c>
    </row>
    <row r="48" spans="2:18" ht="16" x14ac:dyDescent="0.35">
      <c r="G48" s="65"/>
      <c r="H48" s="25"/>
      <c r="I48" s="35"/>
      <c r="J48" s="35"/>
      <c r="K48" s="23"/>
      <c r="L48" s="35"/>
      <c r="M48" s="23">
        <f t="shared" si="3"/>
        <v>0</v>
      </c>
      <c r="N48" s="23">
        <v>0</v>
      </c>
      <c r="O48" s="56">
        <f t="shared" si="4"/>
        <v>835</v>
      </c>
    </row>
    <row r="49" spans="7:15" ht="16" x14ac:dyDescent="0.35">
      <c r="G49" s="65"/>
      <c r="H49" s="25"/>
      <c r="I49" s="35"/>
      <c r="J49" s="35"/>
      <c r="K49" s="23"/>
      <c r="L49" s="35"/>
      <c r="M49" s="23">
        <f t="shared" si="3"/>
        <v>0</v>
      </c>
      <c r="N49" s="23">
        <v>0</v>
      </c>
      <c r="O49" s="56">
        <f t="shared" si="4"/>
        <v>835</v>
      </c>
    </row>
    <row r="50" spans="7:15" ht="16" x14ac:dyDescent="0.35">
      <c r="G50" s="65"/>
      <c r="H50" s="25"/>
      <c r="I50" s="35"/>
      <c r="J50" s="35"/>
      <c r="K50" s="23"/>
      <c r="L50" s="35"/>
      <c r="M50" s="23">
        <f t="shared" si="3"/>
        <v>0</v>
      </c>
      <c r="N50" s="23">
        <v>0</v>
      </c>
      <c r="O50" s="56">
        <f t="shared" si="4"/>
        <v>835</v>
      </c>
    </row>
    <row r="51" spans="7:15" ht="16" x14ac:dyDescent="0.35">
      <c r="G51" s="65"/>
      <c r="H51" s="25"/>
      <c r="I51" s="35"/>
      <c r="J51" s="35"/>
      <c r="K51" s="23"/>
      <c r="L51" s="35"/>
      <c r="M51" s="23">
        <f t="shared" si="3"/>
        <v>0</v>
      </c>
      <c r="N51" s="23">
        <v>0</v>
      </c>
      <c r="O51" s="56">
        <f t="shared" si="4"/>
        <v>835</v>
      </c>
    </row>
    <row r="52" spans="7:15" ht="16" x14ac:dyDescent="0.35">
      <c r="G52" s="65"/>
      <c r="H52" s="25"/>
      <c r="I52" s="35"/>
      <c r="J52" s="35"/>
      <c r="K52" s="23"/>
      <c r="L52" s="35"/>
      <c r="M52" s="23">
        <f t="shared" si="3"/>
        <v>0</v>
      </c>
      <c r="N52" s="23">
        <v>0</v>
      </c>
      <c r="O52" s="56">
        <f t="shared" si="4"/>
        <v>835</v>
      </c>
    </row>
    <row r="53" spans="7:15" ht="16" x14ac:dyDescent="0.35">
      <c r="G53" s="65"/>
      <c r="H53" s="25"/>
      <c r="I53" s="35"/>
      <c r="J53" s="35"/>
      <c r="K53" s="23"/>
      <c r="L53" s="35"/>
      <c r="M53" s="23">
        <f t="shared" si="3"/>
        <v>0</v>
      </c>
      <c r="N53" s="23">
        <v>0</v>
      </c>
      <c r="O53" s="56">
        <f t="shared" si="4"/>
        <v>835</v>
      </c>
    </row>
    <row r="54" spans="7:15" ht="16" x14ac:dyDescent="0.35">
      <c r="G54" s="65"/>
      <c r="H54" s="25"/>
      <c r="I54" s="35"/>
      <c r="J54" s="35"/>
      <c r="K54" s="23"/>
      <c r="L54" s="35"/>
      <c r="M54" s="23">
        <f t="shared" si="3"/>
        <v>0</v>
      </c>
      <c r="N54" s="23">
        <v>0</v>
      </c>
      <c r="O54" s="56">
        <f t="shared" si="4"/>
        <v>835</v>
      </c>
    </row>
    <row r="55" spans="7:15" ht="16" x14ac:dyDescent="0.35">
      <c r="G55" s="65"/>
      <c r="H55" s="25"/>
      <c r="I55" s="35"/>
      <c r="J55" s="35"/>
      <c r="K55" s="23"/>
      <c r="L55" s="35"/>
      <c r="M55" s="23">
        <f t="shared" si="3"/>
        <v>0</v>
      </c>
      <c r="N55" s="23">
        <v>0</v>
      </c>
      <c r="O55" s="56">
        <f t="shared" si="4"/>
        <v>835</v>
      </c>
    </row>
    <row r="56" spans="7:15" ht="16" x14ac:dyDescent="0.35">
      <c r="G56" s="65"/>
      <c r="H56" s="25"/>
      <c r="I56" s="35"/>
      <c r="J56" s="35"/>
      <c r="K56" s="23"/>
      <c r="L56" s="35"/>
      <c r="M56" s="23">
        <f t="shared" si="3"/>
        <v>0</v>
      </c>
      <c r="N56" s="23">
        <v>0</v>
      </c>
      <c r="O56" s="56">
        <f t="shared" si="4"/>
        <v>835</v>
      </c>
    </row>
    <row r="57" spans="7:15" ht="16" x14ac:dyDescent="0.35">
      <c r="G57" s="65"/>
      <c r="H57" s="25"/>
      <c r="I57" s="35"/>
      <c r="J57" s="35"/>
      <c r="K57" s="23"/>
      <c r="L57" s="35"/>
      <c r="M57" s="23">
        <f t="shared" si="3"/>
        <v>0</v>
      </c>
      <c r="N57" s="23">
        <v>0</v>
      </c>
      <c r="O57" s="56">
        <f t="shared" si="4"/>
        <v>835</v>
      </c>
    </row>
    <row r="58" spans="7:15" ht="16" x14ac:dyDescent="0.35">
      <c r="G58" s="65"/>
      <c r="H58" s="25"/>
      <c r="I58" s="35"/>
      <c r="J58" s="35"/>
      <c r="K58" s="23"/>
      <c r="L58" s="35"/>
      <c r="M58" s="23">
        <f t="shared" si="3"/>
        <v>0</v>
      </c>
      <c r="N58" s="23">
        <v>0</v>
      </c>
      <c r="O58" s="56">
        <f t="shared" si="4"/>
        <v>835</v>
      </c>
    </row>
    <row r="59" spans="7:15" ht="16" x14ac:dyDescent="0.35">
      <c r="G59" s="65"/>
      <c r="H59" s="25"/>
      <c r="I59" s="35"/>
      <c r="J59" s="35"/>
      <c r="K59" s="23"/>
      <c r="L59" s="35"/>
      <c r="M59" s="23">
        <f t="shared" si="3"/>
        <v>0</v>
      </c>
      <c r="N59" s="23">
        <v>0</v>
      </c>
      <c r="O59" s="56">
        <f t="shared" si="4"/>
        <v>835</v>
      </c>
    </row>
    <row r="60" spans="7:15" ht="16" x14ac:dyDescent="0.35">
      <c r="G60" s="65"/>
      <c r="H60" s="25"/>
      <c r="I60" s="35"/>
      <c r="J60" s="35"/>
      <c r="K60" s="23"/>
      <c r="L60" s="35"/>
      <c r="M60" s="23">
        <f t="shared" si="3"/>
        <v>0</v>
      </c>
      <c r="N60" s="23">
        <v>0</v>
      </c>
      <c r="O60" s="56">
        <f t="shared" si="4"/>
        <v>835</v>
      </c>
    </row>
    <row r="61" spans="7:15" ht="16" x14ac:dyDescent="0.35">
      <c r="G61" s="65"/>
      <c r="H61" s="25"/>
      <c r="I61" s="35"/>
      <c r="J61" s="35"/>
      <c r="K61" s="23"/>
      <c r="L61" s="35"/>
      <c r="M61" s="23">
        <f t="shared" si="3"/>
        <v>0</v>
      </c>
      <c r="N61" s="23">
        <v>0</v>
      </c>
      <c r="O61" s="56">
        <f t="shared" si="4"/>
        <v>835</v>
      </c>
    </row>
    <row r="62" spans="7:15" ht="16" x14ac:dyDescent="0.35">
      <c r="G62" s="65"/>
      <c r="H62" s="25"/>
      <c r="I62" s="35"/>
      <c r="J62" s="35"/>
      <c r="K62" s="23"/>
      <c r="L62" s="35"/>
      <c r="M62" s="23">
        <f t="shared" si="3"/>
        <v>0</v>
      </c>
      <c r="N62" s="23">
        <v>0</v>
      </c>
      <c r="O62" s="56">
        <f t="shared" si="4"/>
        <v>835</v>
      </c>
    </row>
    <row r="63" spans="7:15" ht="16" x14ac:dyDescent="0.35">
      <c r="G63" s="65"/>
      <c r="H63" s="25"/>
      <c r="I63" s="35"/>
      <c r="J63" s="35"/>
      <c r="K63" s="23"/>
      <c r="L63" s="35"/>
      <c r="M63" s="23">
        <f t="shared" si="3"/>
        <v>0</v>
      </c>
      <c r="N63" s="23">
        <v>0</v>
      </c>
      <c r="O63" s="56">
        <f t="shared" si="4"/>
        <v>835</v>
      </c>
    </row>
    <row r="64" spans="7:15" ht="16" x14ac:dyDescent="0.35">
      <c r="G64" s="65"/>
      <c r="H64" s="25"/>
      <c r="I64" s="35"/>
      <c r="J64" s="35"/>
      <c r="K64" s="23"/>
      <c r="L64" s="35"/>
      <c r="M64" s="23">
        <f t="shared" si="3"/>
        <v>0</v>
      </c>
      <c r="N64" s="23">
        <v>0</v>
      </c>
      <c r="O64" s="56">
        <f t="shared" si="4"/>
        <v>835</v>
      </c>
    </row>
    <row r="65" spans="7:15" ht="16" x14ac:dyDescent="0.35">
      <c r="G65" s="65"/>
      <c r="H65" s="25"/>
      <c r="I65" s="35"/>
      <c r="J65" s="35"/>
      <c r="K65" s="23"/>
      <c r="L65" s="35"/>
      <c r="M65" s="23">
        <f t="shared" si="3"/>
        <v>0</v>
      </c>
      <c r="N65" s="23">
        <v>0</v>
      </c>
      <c r="O65" s="56">
        <f t="shared" si="4"/>
        <v>835</v>
      </c>
    </row>
    <row r="66" spans="7:15" ht="16" x14ac:dyDescent="0.35">
      <c r="G66" s="65"/>
      <c r="H66" s="25"/>
      <c r="I66" s="35"/>
      <c r="J66" s="35"/>
      <c r="K66" s="23"/>
      <c r="L66" s="35"/>
      <c r="M66" s="23">
        <f t="shared" si="3"/>
        <v>0</v>
      </c>
      <c r="N66" s="23">
        <v>0</v>
      </c>
      <c r="O66" s="56">
        <f t="shared" si="4"/>
        <v>835</v>
      </c>
    </row>
    <row r="67" spans="7:15" ht="16" x14ac:dyDescent="0.35">
      <c r="G67" s="65"/>
      <c r="H67" s="25"/>
      <c r="I67" s="35"/>
      <c r="J67" s="35"/>
      <c r="K67" s="23"/>
      <c r="L67" s="35"/>
      <c r="M67" s="23">
        <f t="shared" si="3"/>
        <v>0</v>
      </c>
      <c r="N67" s="23">
        <v>0</v>
      </c>
      <c r="O67" s="56">
        <f t="shared" si="4"/>
        <v>835</v>
      </c>
    </row>
    <row r="68" spans="7:15" ht="16" x14ac:dyDescent="0.35">
      <c r="G68" s="65"/>
      <c r="H68" s="25"/>
      <c r="I68" s="35"/>
      <c r="J68" s="35"/>
      <c r="K68" s="23"/>
      <c r="L68" s="35"/>
      <c r="M68" s="23">
        <f t="shared" si="3"/>
        <v>0</v>
      </c>
      <c r="N68" s="23">
        <v>0</v>
      </c>
      <c r="O68" s="56">
        <f t="shared" si="4"/>
        <v>835</v>
      </c>
    </row>
    <row r="69" spans="7:15" ht="16" x14ac:dyDescent="0.35">
      <c r="G69" s="65"/>
      <c r="H69" s="25"/>
      <c r="I69" s="35"/>
      <c r="J69" s="35"/>
      <c r="K69" s="23"/>
      <c r="L69" s="35"/>
      <c r="M69" s="23">
        <f t="shared" si="3"/>
        <v>0</v>
      </c>
      <c r="N69" s="23">
        <v>0</v>
      </c>
      <c r="O69" s="56">
        <f t="shared" si="4"/>
        <v>835</v>
      </c>
    </row>
    <row r="70" spans="7:15" ht="16" x14ac:dyDescent="0.35">
      <c r="G70" s="65"/>
      <c r="H70" s="25"/>
      <c r="I70" s="35"/>
      <c r="J70" s="35"/>
      <c r="K70" s="23"/>
      <c r="L70" s="35"/>
      <c r="M70" s="23">
        <f t="shared" si="3"/>
        <v>0</v>
      </c>
      <c r="N70" s="23">
        <v>0</v>
      </c>
      <c r="O70" s="56">
        <f t="shared" si="4"/>
        <v>835</v>
      </c>
    </row>
    <row r="71" spans="7:15" ht="16" x14ac:dyDescent="0.35">
      <c r="G71" s="65"/>
      <c r="H71" s="25"/>
      <c r="I71" s="35"/>
      <c r="J71" s="35"/>
      <c r="K71" s="23"/>
      <c r="L71" s="35"/>
      <c r="M71" s="23">
        <f t="shared" si="3"/>
        <v>0</v>
      </c>
      <c r="N71" s="23">
        <v>0</v>
      </c>
      <c r="O71" s="56">
        <f t="shared" si="4"/>
        <v>835</v>
      </c>
    </row>
    <row r="72" spans="7:15" ht="16" x14ac:dyDescent="0.35">
      <c r="G72" s="65"/>
      <c r="H72" s="25"/>
      <c r="I72" s="35"/>
      <c r="J72" s="35"/>
      <c r="K72" s="23"/>
      <c r="L72" s="35"/>
      <c r="M72" s="23">
        <f t="shared" si="3"/>
        <v>0</v>
      </c>
      <c r="N72" s="23">
        <v>0</v>
      </c>
      <c r="O72" s="56">
        <f t="shared" si="4"/>
        <v>835</v>
      </c>
    </row>
    <row r="73" spans="7:15" ht="16" x14ac:dyDescent="0.35">
      <c r="G73" s="65"/>
      <c r="H73" s="25"/>
      <c r="I73" s="35"/>
      <c r="J73" s="35"/>
      <c r="K73" s="23"/>
      <c r="L73" s="35"/>
      <c r="M73" s="23">
        <f t="shared" si="3"/>
        <v>0</v>
      </c>
      <c r="N73" s="23">
        <v>0</v>
      </c>
      <c r="O73" s="56">
        <f t="shared" si="4"/>
        <v>835</v>
      </c>
    </row>
    <row r="74" spans="7:15" ht="16" x14ac:dyDescent="0.35">
      <c r="G74" s="65"/>
      <c r="H74" s="25"/>
      <c r="I74" s="35"/>
      <c r="J74" s="35"/>
      <c r="K74" s="23"/>
      <c r="L74" s="35"/>
      <c r="M74" s="23">
        <f t="shared" si="3"/>
        <v>0</v>
      </c>
      <c r="N74" s="23">
        <v>0</v>
      </c>
      <c r="O74" s="56">
        <f t="shared" si="4"/>
        <v>835</v>
      </c>
    </row>
    <row r="75" spans="7:15" ht="16" x14ac:dyDescent="0.35">
      <c r="G75" s="65"/>
      <c r="H75" s="25"/>
      <c r="I75" s="35"/>
      <c r="J75" s="35"/>
      <c r="K75" s="23"/>
      <c r="L75" s="35"/>
      <c r="M75" s="23">
        <f t="shared" si="3"/>
        <v>0</v>
      </c>
      <c r="N75" s="23">
        <v>0</v>
      </c>
      <c r="O75" s="56">
        <f t="shared" si="4"/>
        <v>835</v>
      </c>
    </row>
    <row r="76" spans="7:15" ht="16" x14ac:dyDescent="0.35">
      <c r="G76" s="65"/>
      <c r="H76" s="25"/>
      <c r="I76" s="35"/>
      <c r="J76" s="35"/>
      <c r="K76" s="23"/>
      <c r="L76" s="35"/>
      <c r="M76" s="23">
        <f t="shared" si="3"/>
        <v>0</v>
      </c>
      <c r="N76" s="23">
        <v>0</v>
      </c>
      <c r="O76" s="56">
        <f t="shared" si="4"/>
        <v>835</v>
      </c>
    </row>
    <row r="77" spans="7:15" ht="16" x14ac:dyDescent="0.35">
      <c r="G77" s="65"/>
      <c r="H77" s="25"/>
      <c r="I77" s="35"/>
      <c r="J77" s="35"/>
      <c r="K77" s="23"/>
      <c r="L77" s="35"/>
      <c r="M77" s="23">
        <f t="shared" si="3"/>
        <v>0</v>
      </c>
      <c r="N77" s="23">
        <v>0</v>
      </c>
      <c r="O77" s="56">
        <f t="shared" si="4"/>
        <v>835</v>
      </c>
    </row>
    <row r="78" spans="7:15" ht="16" x14ac:dyDescent="0.35">
      <c r="G78" s="65"/>
      <c r="H78" s="25"/>
      <c r="I78" s="35"/>
      <c r="J78" s="35"/>
      <c r="K78" s="23"/>
      <c r="L78" s="35"/>
      <c r="M78" s="23">
        <f t="shared" si="3"/>
        <v>0</v>
      </c>
      <c r="N78" s="23">
        <v>0</v>
      </c>
      <c r="O78" s="56">
        <f t="shared" si="4"/>
        <v>835</v>
      </c>
    </row>
    <row r="79" spans="7:15" ht="16" x14ac:dyDescent="0.35">
      <c r="G79" s="65"/>
      <c r="H79" s="25"/>
      <c r="I79" s="35"/>
      <c r="J79" s="35"/>
      <c r="K79" s="23"/>
      <c r="L79" s="35"/>
      <c r="M79" s="23">
        <f t="shared" si="3"/>
        <v>0</v>
      </c>
      <c r="N79" s="23">
        <v>0</v>
      </c>
      <c r="O79" s="56">
        <f t="shared" si="4"/>
        <v>835</v>
      </c>
    </row>
    <row r="80" spans="7:15" ht="16" x14ac:dyDescent="0.35">
      <c r="G80" s="65"/>
      <c r="H80" s="25"/>
      <c r="I80" s="35"/>
      <c r="J80" s="35"/>
      <c r="K80" s="23"/>
      <c r="L80" s="35"/>
      <c r="M80" s="23">
        <f t="shared" si="3"/>
        <v>0</v>
      </c>
      <c r="N80" s="23">
        <v>0</v>
      </c>
      <c r="O80" s="56">
        <f t="shared" si="4"/>
        <v>835</v>
      </c>
    </row>
    <row r="81" spans="7:15" ht="16" x14ac:dyDescent="0.35">
      <c r="G81" s="65"/>
      <c r="H81" s="25"/>
      <c r="I81" s="35"/>
      <c r="J81" s="35"/>
      <c r="K81" s="23"/>
      <c r="L81" s="35"/>
      <c r="M81" s="23">
        <f t="shared" si="3"/>
        <v>0</v>
      </c>
      <c r="N81" s="23">
        <v>0</v>
      </c>
      <c r="O81" s="56">
        <f t="shared" si="4"/>
        <v>835</v>
      </c>
    </row>
    <row r="82" spans="7:15" ht="16" x14ac:dyDescent="0.35">
      <c r="G82" s="65"/>
      <c r="H82" s="25"/>
      <c r="I82" s="35"/>
      <c r="J82" s="35"/>
      <c r="K82" s="23"/>
      <c r="L82" s="35"/>
      <c r="M82" s="23">
        <f t="shared" si="3"/>
        <v>0</v>
      </c>
      <c r="N82" s="23">
        <v>0</v>
      </c>
      <c r="O82" s="56">
        <f t="shared" si="4"/>
        <v>835</v>
      </c>
    </row>
    <row r="83" spans="7:15" ht="16" x14ac:dyDescent="0.35">
      <c r="G83" s="65"/>
      <c r="H83" s="25"/>
      <c r="I83" s="35"/>
      <c r="J83" s="35"/>
      <c r="K83" s="23"/>
      <c r="L83" s="35"/>
      <c r="M83" s="23">
        <f t="shared" si="3"/>
        <v>0</v>
      </c>
      <c r="N83" s="23">
        <v>0</v>
      </c>
      <c r="O83" s="56">
        <f t="shared" si="4"/>
        <v>835</v>
      </c>
    </row>
    <row r="84" spans="7:15" ht="16" x14ac:dyDescent="0.35">
      <c r="G84" s="65"/>
      <c r="H84" s="25"/>
      <c r="I84" s="35"/>
      <c r="J84" s="35"/>
      <c r="K84" s="23"/>
      <c r="L84" s="35"/>
      <c r="M84" s="23">
        <f t="shared" si="3"/>
        <v>0</v>
      </c>
      <c r="N84" s="23">
        <v>0</v>
      </c>
      <c r="O84" s="56">
        <f t="shared" si="4"/>
        <v>835</v>
      </c>
    </row>
    <row r="85" spans="7:15" ht="16.5" thickBot="1" x14ac:dyDescent="0.4">
      <c r="G85" s="66"/>
      <c r="H85" s="37"/>
      <c r="I85" s="38"/>
      <c r="J85" s="38"/>
      <c r="K85" s="27"/>
      <c r="L85" s="38"/>
      <c r="M85" s="27">
        <f t="shared" si="3"/>
        <v>0</v>
      </c>
      <c r="N85" s="27">
        <v>0</v>
      </c>
      <c r="O85" s="60">
        <f t="shared" si="4"/>
        <v>835</v>
      </c>
    </row>
    <row r="86" spans="7:15" ht="16.5" thickBot="1" x14ac:dyDescent="0.4">
      <c r="H86" s="39"/>
      <c r="I86" s="39"/>
      <c r="J86" s="39"/>
      <c r="K86" s="39"/>
      <c r="L86" s="39"/>
      <c r="M86" s="30">
        <f>SUM(M30:M85)</f>
        <v>538</v>
      </c>
      <c r="N86" s="30">
        <f>SUM(N30:N85)</f>
        <v>0</v>
      </c>
      <c r="O86" s="42">
        <f>O85</f>
        <v>835</v>
      </c>
    </row>
    <row r="88" spans="7:15" ht="15" thickBot="1" x14ac:dyDescent="0.4"/>
    <row r="89" spans="7:15" ht="27" customHeight="1" thickBot="1" x14ac:dyDescent="0.4">
      <c r="H89" s="61" t="s">
        <v>47</v>
      </c>
      <c r="I89" s="62"/>
      <c r="J89" s="62"/>
      <c r="K89" s="62"/>
      <c r="L89" s="62"/>
      <c r="M89" s="62"/>
      <c r="N89" s="62"/>
      <c r="O89" s="63"/>
    </row>
    <row r="90" spans="7:15" ht="27" customHeight="1" thickBot="1" x14ac:dyDescent="0.4">
      <c r="G90" s="64" t="s">
        <v>35</v>
      </c>
      <c r="H90" s="10" t="s">
        <v>11</v>
      </c>
      <c r="I90" s="11" t="s">
        <v>12</v>
      </c>
      <c r="J90" s="11" t="s">
        <v>33</v>
      </c>
      <c r="K90" s="11" t="s">
        <v>34</v>
      </c>
      <c r="L90" s="11" t="s">
        <v>42</v>
      </c>
      <c r="M90" s="11" t="s">
        <v>2</v>
      </c>
      <c r="N90" s="11" t="s">
        <v>1</v>
      </c>
      <c r="O90" s="12" t="s">
        <v>9</v>
      </c>
    </row>
    <row r="91" spans="7:15" ht="16" x14ac:dyDescent="0.35">
      <c r="G91" s="65"/>
      <c r="H91" s="31"/>
      <c r="I91" s="32"/>
      <c r="J91" s="32"/>
      <c r="K91" s="33"/>
      <c r="L91" s="32"/>
      <c r="M91" s="33">
        <f>K91*I91</f>
        <v>0</v>
      </c>
      <c r="N91" s="33">
        <v>0</v>
      </c>
      <c r="O91" s="34">
        <f>O86+M91-N91</f>
        <v>835</v>
      </c>
    </row>
    <row r="92" spans="7:15" ht="16" x14ac:dyDescent="0.35">
      <c r="G92" s="65"/>
      <c r="H92" s="25"/>
      <c r="I92" s="35"/>
      <c r="J92" s="35"/>
      <c r="K92" s="23"/>
      <c r="L92" s="35"/>
      <c r="M92" s="23">
        <f t="shared" ref="M92:M128" si="5">K92*I92</f>
        <v>0</v>
      </c>
      <c r="N92" s="23">
        <v>0</v>
      </c>
      <c r="O92" s="36">
        <f>O91+M92-N92</f>
        <v>835</v>
      </c>
    </row>
    <row r="93" spans="7:15" ht="16" x14ac:dyDescent="0.35">
      <c r="G93" s="65"/>
      <c r="H93" s="25"/>
      <c r="I93" s="35"/>
      <c r="J93" s="35"/>
      <c r="K93" s="23"/>
      <c r="L93" s="35"/>
      <c r="M93" s="23">
        <f t="shared" si="5"/>
        <v>0</v>
      </c>
      <c r="N93" s="23">
        <v>0</v>
      </c>
      <c r="O93" s="36">
        <f>O92+M93-N93</f>
        <v>835</v>
      </c>
    </row>
    <row r="94" spans="7:15" ht="16" x14ac:dyDescent="0.35">
      <c r="G94" s="65"/>
      <c r="H94" s="25"/>
      <c r="I94" s="35"/>
      <c r="J94" s="35"/>
      <c r="K94" s="23"/>
      <c r="L94" s="35"/>
      <c r="M94" s="23">
        <f t="shared" si="5"/>
        <v>0</v>
      </c>
      <c r="N94" s="23">
        <v>0</v>
      </c>
      <c r="O94" s="36">
        <f>O93+M94-N94</f>
        <v>835</v>
      </c>
    </row>
    <row r="95" spans="7:15" ht="16" x14ac:dyDescent="0.35">
      <c r="G95" s="65"/>
      <c r="H95" s="25"/>
      <c r="I95" s="35"/>
      <c r="J95" s="35"/>
      <c r="K95" s="23"/>
      <c r="L95" s="35"/>
      <c r="M95" s="23">
        <f t="shared" si="5"/>
        <v>0</v>
      </c>
      <c r="N95" s="23">
        <v>0</v>
      </c>
      <c r="O95" s="36">
        <f t="shared" ref="O95:O101" si="6">O94+M95-N95</f>
        <v>835</v>
      </c>
    </row>
    <row r="96" spans="7:15" ht="16.5" thickBot="1" x14ac:dyDescent="0.4">
      <c r="G96" s="65"/>
      <c r="H96" s="25"/>
      <c r="I96" s="35"/>
      <c r="J96" s="35"/>
      <c r="K96" s="23"/>
      <c r="L96" s="35"/>
      <c r="M96" s="23">
        <f t="shared" si="5"/>
        <v>0</v>
      </c>
      <c r="N96" s="23">
        <v>0</v>
      </c>
      <c r="O96" s="36">
        <f t="shared" si="6"/>
        <v>835</v>
      </c>
    </row>
    <row r="97" spans="7:18" ht="16.5" thickBot="1" x14ac:dyDescent="0.4">
      <c r="G97" s="65"/>
      <c r="H97" s="25"/>
      <c r="I97" s="35"/>
      <c r="J97" s="35"/>
      <c r="K97" s="23"/>
      <c r="L97" s="35"/>
      <c r="M97" s="23">
        <f t="shared" si="5"/>
        <v>0</v>
      </c>
      <c r="N97" s="23">
        <v>0</v>
      </c>
      <c r="O97" s="36">
        <f t="shared" si="6"/>
        <v>835</v>
      </c>
      <c r="Q97" s="80" t="s">
        <v>66</v>
      </c>
      <c r="R97" s="81"/>
    </row>
    <row r="98" spans="7:18" ht="16" x14ac:dyDescent="0.35">
      <c r="G98" s="65"/>
      <c r="H98" s="25"/>
      <c r="I98" s="35"/>
      <c r="J98" s="35"/>
      <c r="K98" s="23"/>
      <c r="L98" s="35"/>
      <c r="M98" s="23">
        <f t="shared" si="5"/>
        <v>0</v>
      </c>
      <c r="N98" s="23">
        <v>0</v>
      </c>
      <c r="O98" s="36">
        <f t="shared" si="6"/>
        <v>835</v>
      </c>
      <c r="Q98" s="72" t="s">
        <v>25</v>
      </c>
      <c r="R98" s="73"/>
    </row>
    <row r="99" spans="7:18" ht="16" x14ac:dyDescent="0.35">
      <c r="G99" s="65"/>
      <c r="H99" s="25"/>
      <c r="I99" s="35"/>
      <c r="J99" s="35"/>
      <c r="K99" s="23"/>
      <c r="L99" s="35"/>
      <c r="M99" s="23">
        <f t="shared" si="5"/>
        <v>0</v>
      </c>
      <c r="N99" s="23">
        <v>0</v>
      </c>
      <c r="O99" s="36">
        <f t="shared" si="6"/>
        <v>835</v>
      </c>
      <c r="Q99" s="74" t="s">
        <v>36</v>
      </c>
      <c r="R99" s="75"/>
    </row>
    <row r="100" spans="7:18" ht="16" x14ac:dyDescent="0.35">
      <c r="G100" s="65"/>
      <c r="H100" s="25"/>
      <c r="I100" s="35"/>
      <c r="J100" s="35"/>
      <c r="K100" s="23"/>
      <c r="L100" s="35"/>
      <c r="M100" s="23">
        <f t="shared" si="5"/>
        <v>0</v>
      </c>
      <c r="N100" s="23">
        <v>0</v>
      </c>
      <c r="O100" s="36">
        <f t="shared" si="6"/>
        <v>835</v>
      </c>
      <c r="Q100" s="74" t="s">
        <v>37</v>
      </c>
      <c r="R100" s="75"/>
    </row>
    <row r="101" spans="7:18" ht="16.5" thickBot="1" x14ac:dyDescent="0.4">
      <c r="G101" s="65"/>
      <c r="H101" s="25"/>
      <c r="I101" s="35"/>
      <c r="J101" s="35"/>
      <c r="K101" s="23"/>
      <c r="L101" s="35"/>
      <c r="M101" s="23">
        <f t="shared" si="5"/>
        <v>0</v>
      </c>
      <c r="N101" s="23">
        <v>0</v>
      </c>
      <c r="O101" s="36">
        <f t="shared" si="6"/>
        <v>835</v>
      </c>
      <c r="Q101" s="76" t="s">
        <v>26</v>
      </c>
      <c r="R101" s="77"/>
    </row>
    <row r="102" spans="7:18" ht="16.5" thickBot="1" x14ac:dyDescent="0.4">
      <c r="G102" s="65"/>
      <c r="H102" s="25"/>
      <c r="I102" s="35"/>
      <c r="J102" s="35"/>
      <c r="K102" s="23"/>
      <c r="L102" s="35"/>
      <c r="M102" s="23">
        <f t="shared" si="5"/>
        <v>0</v>
      </c>
      <c r="N102" s="23">
        <v>0</v>
      </c>
      <c r="O102" s="36">
        <f>O101+M102-N102</f>
        <v>835</v>
      </c>
      <c r="Q102" s="78" t="s">
        <v>63</v>
      </c>
      <c r="R102" s="79">
        <f>SUM(R98:R101)</f>
        <v>0</v>
      </c>
    </row>
    <row r="103" spans="7:18" ht="16" x14ac:dyDescent="0.35">
      <c r="G103" s="65"/>
      <c r="H103" s="25"/>
      <c r="I103" s="35"/>
      <c r="J103" s="35"/>
      <c r="K103" s="23"/>
      <c r="L103" s="35"/>
      <c r="M103" s="23">
        <f t="shared" si="5"/>
        <v>0</v>
      </c>
      <c r="N103" s="23">
        <v>0</v>
      </c>
      <c r="O103" s="36">
        <f t="shared" ref="O103:O128" si="7">O102+M103-N103</f>
        <v>835</v>
      </c>
    </row>
    <row r="104" spans="7:18" ht="16" x14ac:dyDescent="0.35">
      <c r="G104" s="65"/>
      <c r="H104" s="25"/>
      <c r="I104" s="35"/>
      <c r="J104" s="35"/>
      <c r="K104" s="23"/>
      <c r="L104" s="35"/>
      <c r="M104" s="23">
        <f t="shared" si="5"/>
        <v>0</v>
      </c>
      <c r="N104" s="23">
        <v>0</v>
      </c>
      <c r="O104" s="36">
        <f t="shared" si="7"/>
        <v>835</v>
      </c>
    </row>
    <row r="105" spans="7:18" ht="16" x14ac:dyDescent="0.35">
      <c r="G105" s="65"/>
      <c r="H105" s="25"/>
      <c r="I105" s="35"/>
      <c r="J105" s="35"/>
      <c r="K105" s="23"/>
      <c r="L105" s="35"/>
      <c r="M105" s="23">
        <f t="shared" si="5"/>
        <v>0</v>
      </c>
      <c r="N105" s="23">
        <v>0</v>
      </c>
      <c r="O105" s="36">
        <f t="shared" si="7"/>
        <v>835</v>
      </c>
    </row>
    <row r="106" spans="7:18" ht="16" x14ac:dyDescent="0.35">
      <c r="G106" s="65"/>
      <c r="H106" s="25"/>
      <c r="I106" s="35"/>
      <c r="J106" s="35"/>
      <c r="K106" s="23"/>
      <c r="L106" s="35"/>
      <c r="M106" s="23">
        <f t="shared" si="5"/>
        <v>0</v>
      </c>
      <c r="N106" s="23">
        <v>0</v>
      </c>
      <c r="O106" s="36">
        <f t="shared" si="7"/>
        <v>835</v>
      </c>
    </row>
    <row r="107" spans="7:18" ht="16" x14ac:dyDescent="0.35">
      <c r="G107" s="65"/>
      <c r="H107" s="25"/>
      <c r="I107" s="35"/>
      <c r="J107" s="35"/>
      <c r="K107" s="23"/>
      <c r="L107" s="35"/>
      <c r="M107" s="23">
        <f t="shared" si="5"/>
        <v>0</v>
      </c>
      <c r="N107" s="23">
        <v>0</v>
      </c>
      <c r="O107" s="36">
        <f t="shared" si="7"/>
        <v>835</v>
      </c>
    </row>
    <row r="108" spans="7:18" ht="16" x14ac:dyDescent="0.35">
      <c r="G108" s="65"/>
      <c r="H108" s="25"/>
      <c r="I108" s="35"/>
      <c r="J108" s="35"/>
      <c r="K108" s="23"/>
      <c r="L108" s="35"/>
      <c r="M108" s="23">
        <f t="shared" si="5"/>
        <v>0</v>
      </c>
      <c r="N108" s="23">
        <v>0</v>
      </c>
      <c r="O108" s="36">
        <f t="shared" si="7"/>
        <v>835</v>
      </c>
    </row>
    <row r="109" spans="7:18" ht="16" x14ac:dyDescent="0.35">
      <c r="G109" s="65"/>
      <c r="H109" s="25"/>
      <c r="I109" s="35"/>
      <c r="J109" s="35"/>
      <c r="K109" s="23"/>
      <c r="L109" s="35"/>
      <c r="M109" s="23">
        <f t="shared" si="5"/>
        <v>0</v>
      </c>
      <c r="N109" s="23">
        <v>0</v>
      </c>
      <c r="O109" s="36">
        <f t="shared" si="7"/>
        <v>835</v>
      </c>
    </row>
    <row r="110" spans="7:18" ht="16" x14ac:dyDescent="0.35">
      <c r="G110" s="65"/>
      <c r="H110" s="25"/>
      <c r="I110" s="35"/>
      <c r="J110" s="35"/>
      <c r="K110" s="23"/>
      <c r="L110" s="35"/>
      <c r="M110" s="23">
        <f t="shared" si="5"/>
        <v>0</v>
      </c>
      <c r="N110" s="23">
        <v>0</v>
      </c>
      <c r="O110" s="36">
        <f t="shared" si="7"/>
        <v>835</v>
      </c>
    </row>
    <row r="111" spans="7:18" ht="16" x14ac:dyDescent="0.35">
      <c r="G111" s="65"/>
      <c r="H111" s="25"/>
      <c r="I111" s="35"/>
      <c r="J111" s="35"/>
      <c r="K111" s="23"/>
      <c r="L111" s="35"/>
      <c r="M111" s="23">
        <f t="shared" si="5"/>
        <v>0</v>
      </c>
      <c r="N111" s="23">
        <v>0</v>
      </c>
      <c r="O111" s="36">
        <f t="shared" si="7"/>
        <v>835</v>
      </c>
    </row>
    <row r="112" spans="7:18" ht="16" x14ac:dyDescent="0.35">
      <c r="G112" s="65"/>
      <c r="H112" s="25"/>
      <c r="I112" s="35"/>
      <c r="J112" s="35"/>
      <c r="K112" s="23"/>
      <c r="L112" s="35"/>
      <c r="M112" s="23">
        <f t="shared" si="5"/>
        <v>0</v>
      </c>
      <c r="N112" s="23">
        <v>0</v>
      </c>
      <c r="O112" s="36">
        <f t="shared" si="7"/>
        <v>835</v>
      </c>
    </row>
    <row r="113" spans="7:15" ht="16" x14ac:dyDescent="0.35">
      <c r="G113" s="65"/>
      <c r="H113" s="25"/>
      <c r="I113" s="35"/>
      <c r="J113" s="35"/>
      <c r="K113" s="23"/>
      <c r="L113" s="35"/>
      <c r="M113" s="23">
        <f t="shared" si="5"/>
        <v>0</v>
      </c>
      <c r="N113" s="23">
        <v>0</v>
      </c>
      <c r="O113" s="36">
        <f t="shared" si="7"/>
        <v>835</v>
      </c>
    </row>
    <row r="114" spans="7:15" ht="16" x14ac:dyDescent="0.35">
      <c r="G114" s="65"/>
      <c r="H114" s="25"/>
      <c r="I114" s="35"/>
      <c r="J114" s="35"/>
      <c r="K114" s="23"/>
      <c r="L114" s="35"/>
      <c r="M114" s="23">
        <f t="shared" si="5"/>
        <v>0</v>
      </c>
      <c r="N114" s="23">
        <v>0</v>
      </c>
      <c r="O114" s="36">
        <f t="shared" si="7"/>
        <v>835</v>
      </c>
    </row>
    <row r="115" spans="7:15" ht="16" x14ac:dyDescent="0.35">
      <c r="G115" s="65"/>
      <c r="H115" s="25"/>
      <c r="I115" s="35"/>
      <c r="J115" s="35"/>
      <c r="K115" s="23"/>
      <c r="L115" s="35"/>
      <c r="M115" s="23">
        <f t="shared" si="5"/>
        <v>0</v>
      </c>
      <c r="N115" s="23">
        <v>0</v>
      </c>
      <c r="O115" s="36">
        <f t="shared" si="7"/>
        <v>835</v>
      </c>
    </row>
    <row r="116" spans="7:15" ht="16" x14ac:dyDescent="0.35">
      <c r="G116" s="65"/>
      <c r="H116" s="25"/>
      <c r="I116" s="35"/>
      <c r="J116" s="35"/>
      <c r="K116" s="23"/>
      <c r="L116" s="35"/>
      <c r="M116" s="23">
        <f t="shared" si="5"/>
        <v>0</v>
      </c>
      <c r="N116" s="23">
        <v>0</v>
      </c>
      <c r="O116" s="36">
        <f t="shared" si="7"/>
        <v>835</v>
      </c>
    </row>
    <row r="117" spans="7:15" ht="16" x14ac:dyDescent="0.35">
      <c r="G117" s="65"/>
      <c r="H117" s="25"/>
      <c r="I117" s="35"/>
      <c r="J117" s="35"/>
      <c r="K117" s="23"/>
      <c r="L117" s="35"/>
      <c r="M117" s="23">
        <f t="shared" si="5"/>
        <v>0</v>
      </c>
      <c r="N117" s="23">
        <v>0</v>
      </c>
      <c r="O117" s="36">
        <f t="shared" si="7"/>
        <v>835</v>
      </c>
    </row>
    <row r="118" spans="7:15" ht="16" x14ac:dyDescent="0.35">
      <c r="G118" s="65"/>
      <c r="H118" s="25"/>
      <c r="I118" s="35"/>
      <c r="J118" s="35"/>
      <c r="K118" s="23"/>
      <c r="L118" s="35"/>
      <c r="M118" s="23">
        <f t="shared" si="5"/>
        <v>0</v>
      </c>
      <c r="N118" s="23">
        <v>0</v>
      </c>
      <c r="O118" s="36">
        <f t="shared" si="7"/>
        <v>835</v>
      </c>
    </row>
    <row r="119" spans="7:15" ht="16" x14ac:dyDescent="0.35">
      <c r="G119" s="65"/>
      <c r="H119" s="25"/>
      <c r="I119" s="35"/>
      <c r="J119" s="35"/>
      <c r="K119" s="23"/>
      <c r="L119" s="35"/>
      <c r="M119" s="23">
        <f t="shared" si="5"/>
        <v>0</v>
      </c>
      <c r="N119" s="23">
        <v>0</v>
      </c>
      <c r="O119" s="36">
        <f t="shared" si="7"/>
        <v>835</v>
      </c>
    </row>
    <row r="120" spans="7:15" ht="16" x14ac:dyDescent="0.35">
      <c r="G120" s="65"/>
      <c r="H120" s="25"/>
      <c r="I120" s="35"/>
      <c r="J120" s="35"/>
      <c r="K120" s="23"/>
      <c r="L120" s="35"/>
      <c r="M120" s="23">
        <f t="shared" si="5"/>
        <v>0</v>
      </c>
      <c r="N120" s="23">
        <v>0</v>
      </c>
      <c r="O120" s="36">
        <f t="shared" si="7"/>
        <v>835</v>
      </c>
    </row>
    <row r="121" spans="7:15" ht="16" x14ac:dyDescent="0.35">
      <c r="G121" s="65"/>
      <c r="H121" s="25"/>
      <c r="I121" s="35"/>
      <c r="J121" s="35"/>
      <c r="K121" s="23"/>
      <c r="L121" s="35"/>
      <c r="M121" s="23">
        <f t="shared" si="5"/>
        <v>0</v>
      </c>
      <c r="N121" s="23">
        <v>0</v>
      </c>
      <c r="O121" s="36">
        <f t="shared" si="7"/>
        <v>835</v>
      </c>
    </row>
    <row r="122" spans="7:15" ht="16" x14ac:dyDescent="0.35">
      <c r="G122" s="65"/>
      <c r="H122" s="25"/>
      <c r="I122" s="35"/>
      <c r="J122" s="35"/>
      <c r="K122" s="23"/>
      <c r="L122" s="35"/>
      <c r="M122" s="23">
        <f t="shared" si="5"/>
        <v>0</v>
      </c>
      <c r="N122" s="23">
        <v>0</v>
      </c>
      <c r="O122" s="36">
        <f t="shared" si="7"/>
        <v>835</v>
      </c>
    </row>
    <row r="123" spans="7:15" ht="16" x14ac:dyDescent="0.35">
      <c r="G123" s="65"/>
      <c r="H123" s="25"/>
      <c r="I123" s="35"/>
      <c r="J123" s="35"/>
      <c r="K123" s="23"/>
      <c r="L123" s="35"/>
      <c r="M123" s="23">
        <f t="shared" si="5"/>
        <v>0</v>
      </c>
      <c r="N123" s="23">
        <v>0</v>
      </c>
      <c r="O123" s="36">
        <f t="shared" si="7"/>
        <v>835</v>
      </c>
    </row>
    <row r="124" spans="7:15" ht="16" x14ac:dyDescent="0.35">
      <c r="G124" s="65"/>
      <c r="H124" s="25"/>
      <c r="I124" s="35"/>
      <c r="J124" s="35"/>
      <c r="K124" s="23"/>
      <c r="L124" s="35"/>
      <c r="M124" s="23">
        <f t="shared" si="5"/>
        <v>0</v>
      </c>
      <c r="N124" s="23">
        <v>0</v>
      </c>
      <c r="O124" s="36">
        <f t="shared" si="7"/>
        <v>835</v>
      </c>
    </row>
    <row r="125" spans="7:15" ht="16" x14ac:dyDescent="0.35">
      <c r="G125" s="65"/>
      <c r="H125" s="25"/>
      <c r="I125" s="35"/>
      <c r="J125" s="35"/>
      <c r="K125" s="23"/>
      <c r="L125" s="35"/>
      <c r="M125" s="23">
        <f t="shared" si="5"/>
        <v>0</v>
      </c>
      <c r="N125" s="23">
        <v>0</v>
      </c>
      <c r="O125" s="36">
        <f t="shared" si="7"/>
        <v>835</v>
      </c>
    </row>
    <row r="126" spans="7:15" ht="16" x14ac:dyDescent="0.35">
      <c r="G126" s="65"/>
      <c r="H126" s="25"/>
      <c r="I126" s="35"/>
      <c r="J126" s="35"/>
      <c r="K126" s="23"/>
      <c r="L126" s="35"/>
      <c r="M126" s="23">
        <f t="shared" si="5"/>
        <v>0</v>
      </c>
      <c r="N126" s="23">
        <v>0</v>
      </c>
      <c r="O126" s="36">
        <f t="shared" si="7"/>
        <v>835</v>
      </c>
    </row>
    <row r="127" spans="7:15" ht="16.5" thickBot="1" x14ac:dyDescent="0.4">
      <c r="G127" s="66"/>
      <c r="H127" s="37"/>
      <c r="I127" s="38"/>
      <c r="J127" s="38"/>
      <c r="K127" s="27"/>
      <c r="L127" s="38"/>
      <c r="M127" s="41">
        <f t="shared" si="5"/>
        <v>0</v>
      </c>
      <c r="N127" s="41">
        <v>0</v>
      </c>
      <c r="O127" s="43">
        <f t="shared" si="7"/>
        <v>835</v>
      </c>
    </row>
    <row r="128" spans="7:15" ht="16.5" thickBot="1" x14ac:dyDescent="0.4">
      <c r="H128" s="39"/>
      <c r="I128" s="39"/>
      <c r="J128" s="39"/>
      <c r="K128" s="39"/>
      <c r="L128" s="39"/>
      <c r="M128" s="52">
        <f t="shared" si="5"/>
        <v>0</v>
      </c>
      <c r="N128" s="53">
        <v>0</v>
      </c>
      <c r="O128" s="50">
        <f t="shared" si="7"/>
        <v>835</v>
      </c>
    </row>
    <row r="129" spans="7:18" x14ac:dyDescent="0.35">
      <c r="N129" s="2"/>
    </row>
    <row r="132" spans="7:18" ht="15" thickBot="1" x14ac:dyDescent="0.4"/>
    <row r="133" spans="7:18" ht="31" customHeight="1" thickBot="1" x14ac:dyDescent="0.4">
      <c r="H133" s="61" t="s">
        <v>48</v>
      </c>
      <c r="I133" s="62"/>
      <c r="J133" s="62"/>
      <c r="K133" s="62"/>
      <c r="L133" s="62"/>
      <c r="M133" s="62"/>
      <c r="N133" s="62"/>
      <c r="O133" s="63"/>
    </row>
    <row r="134" spans="7:18" ht="32" customHeight="1" x14ac:dyDescent="0.35">
      <c r="G134" s="70" t="s">
        <v>44</v>
      </c>
      <c r="H134" s="57" t="s">
        <v>11</v>
      </c>
      <c r="I134" s="58" t="s">
        <v>12</v>
      </c>
      <c r="J134" s="58" t="s">
        <v>33</v>
      </c>
      <c r="K134" s="58" t="s">
        <v>34</v>
      </c>
      <c r="L134" s="58" t="s">
        <v>43</v>
      </c>
      <c r="M134" s="58" t="s">
        <v>2</v>
      </c>
      <c r="N134" s="58" t="s">
        <v>1</v>
      </c>
      <c r="O134" s="59" t="s">
        <v>9</v>
      </c>
    </row>
    <row r="135" spans="7:18" ht="16" x14ac:dyDescent="0.35">
      <c r="G135" s="65"/>
      <c r="H135" s="54"/>
      <c r="I135" s="55"/>
      <c r="J135" s="55"/>
      <c r="K135" s="15"/>
      <c r="L135" s="55"/>
      <c r="M135" s="15">
        <f>K135*I135</f>
        <v>0</v>
      </c>
      <c r="N135" s="15">
        <v>0</v>
      </c>
      <c r="O135" s="56">
        <f>O128+M135-N135</f>
        <v>835</v>
      </c>
    </row>
    <row r="136" spans="7:18" ht="16" x14ac:dyDescent="0.35">
      <c r="G136" s="65"/>
      <c r="H136" s="54"/>
      <c r="I136" s="35"/>
      <c r="J136" s="35"/>
      <c r="K136" s="23"/>
      <c r="L136" s="35"/>
      <c r="M136" s="23">
        <f t="shared" ref="M136:M190" si="8">K136*I136</f>
        <v>0</v>
      </c>
      <c r="N136" s="23">
        <v>0</v>
      </c>
      <c r="O136" s="56">
        <f>O135+M136-N136</f>
        <v>835</v>
      </c>
    </row>
    <row r="137" spans="7:18" ht="16" x14ac:dyDescent="0.35">
      <c r="G137" s="65"/>
      <c r="H137" s="54"/>
      <c r="I137" s="35"/>
      <c r="J137" s="35"/>
      <c r="K137" s="23"/>
      <c r="L137" s="35"/>
      <c r="M137" s="23">
        <f t="shared" si="8"/>
        <v>0</v>
      </c>
      <c r="N137" s="23">
        <v>0</v>
      </c>
      <c r="O137" s="56">
        <f t="shared" ref="O137:O190" si="9">O136+M137-N137</f>
        <v>835</v>
      </c>
    </row>
    <row r="138" spans="7:18" ht="16" x14ac:dyDescent="0.35">
      <c r="G138" s="65"/>
      <c r="H138" s="54"/>
      <c r="I138" s="35"/>
      <c r="J138" s="35"/>
      <c r="K138" s="23"/>
      <c r="L138" s="35"/>
      <c r="M138" s="23">
        <f t="shared" si="8"/>
        <v>0</v>
      </c>
      <c r="N138" s="23">
        <v>0</v>
      </c>
      <c r="O138" s="56">
        <f t="shared" si="9"/>
        <v>835</v>
      </c>
    </row>
    <row r="139" spans="7:18" ht="16" x14ac:dyDescent="0.35">
      <c r="G139" s="65"/>
      <c r="H139" s="54"/>
      <c r="I139" s="35"/>
      <c r="J139" s="35"/>
      <c r="K139" s="23"/>
      <c r="L139" s="35"/>
      <c r="M139" s="23">
        <f t="shared" si="8"/>
        <v>0</v>
      </c>
      <c r="N139" s="23">
        <v>0</v>
      </c>
      <c r="O139" s="56">
        <f t="shared" si="9"/>
        <v>835</v>
      </c>
    </row>
    <row r="140" spans="7:18" ht="16.5" thickBot="1" x14ac:dyDescent="0.4">
      <c r="G140" s="65"/>
      <c r="H140" s="54"/>
      <c r="I140" s="35"/>
      <c r="J140" s="35"/>
      <c r="K140" s="23"/>
      <c r="L140" s="35"/>
      <c r="M140" s="23">
        <f t="shared" si="8"/>
        <v>0</v>
      </c>
      <c r="N140" s="23">
        <v>0</v>
      </c>
      <c r="O140" s="56">
        <f t="shared" si="9"/>
        <v>835</v>
      </c>
    </row>
    <row r="141" spans="7:18" ht="16.5" thickBot="1" x14ac:dyDescent="0.4">
      <c r="G141" s="65"/>
      <c r="H141" s="54"/>
      <c r="I141" s="35"/>
      <c r="J141" s="35"/>
      <c r="K141" s="23"/>
      <c r="L141" s="35"/>
      <c r="M141" s="23">
        <f t="shared" si="8"/>
        <v>0</v>
      </c>
      <c r="N141" s="23">
        <v>0</v>
      </c>
      <c r="O141" s="56">
        <f t="shared" si="9"/>
        <v>835</v>
      </c>
      <c r="Q141" s="80" t="s">
        <v>67</v>
      </c>
      <c r="R141" s="81"/>
    </row>
    <row r="142" spans="7:18" ht="16" x14ac:dyDescent="0.35">
      <c r="G142" s="65"/>
      <c r="H142" s="54"/>
      <c r="I142" s="35"/>
      <c r="J142" s="35"/>
      <c r="K142" s="23"/>
      <c r="L142" s="35"/>
      <c r="M142" s="23">
        <f t="shared" si="8"/>
        <v>0</v>
      </c>
      <c r="N142" s="23">
        <v>0</v>
      </c>
      <c r="O142" s="56">
        <f t="shared" si="9"/>
        <v>835</v>
      </c>
      <c r="Q142" s="72" t="s">
        <v>25</v>
      </c>
      <c r="R142" s="73"/>
    </row>
    <row r="143" spans="7:18" ht="16" x14ac:dyDescent="0.35">
      <c r="G143" s="65"/>
      <c r="H143" s="44"/>
      <c r="I143" s="35"/>
      <c r="J143" s="35"/>
      <c r="K143" s="23"/>
      <c r="L143" s="35"/>
      <c r="M143" s="23">
        <f t="shared" si="8"/>
        <v>0</v>
      </c>
      <c r="N143" s="23">
        <v>0</v>
      </c>
      <c r="O143" s="56">
        <f t="shared" si="9"/>
        <v>835</v>
      </c>
      <c r="Q143" s="74" t="s">
        <v>36</v>
      </c>
      <c r="R143" s="75"/>
    </row>
    <row r="144" spans="7:18" ht="16" x14ac:dyDescent="0.35">
      <c r="G144" s="65"/>
      <c r="H144" s="44"/>
      <c r="I144" s="35"/>
      <c r="J144" s="35"/>
      <c r="K144" s="23"/>
      <c r="L144" s="35"/>
      <c r="M144" s="23">
        <f t="shared" si="8"/>
        <v>0</v>
      </c>
      <c r="N144" s="23">
        <v>0</v>
      </c>
      <c r="O144" s="56">
        <f t="shared" si="9"/>
        <v>835</v>
      </c>
      <c r="Q144" s="74" t="s">
        <v>37</v>
      </c>
      <c r="R144" s="75"/>
    </row>
    <row r="145" spans="7:18" ht="16.5" thickBot="1" x14ac:dyDescent="0.4">
      <c r="G145" s="65"/>
      <c r="H145" s="44"/>
      <c r="I145" s="35"/>
      <c r="J145" s="35"/>
      <c r="K145" s="23"/>
      <c r="L145" s="35"/>
      <c r="M145" s="23">
        <f t="shared" si="8"/>
        <v>0</v>
      </c>
      <c r="N145" s="23">
        <v>0</v>
      </c>
      <c r="O145" s="56">
        <f t="shared" si="9"/>
        <v>835</v>
      </c>
      <c r="Q145" s="76" t="s">
        <v>26</v>
      </c>
      <c r="R145" s="77"/>
    </row>
    <row r="146" spans="7:18" ht="16.5" thickBot="1" x14ac:dyDescent="0.4">
      <c r="G146" s="65"/>
      <c r="H146" s="44"/>
      <c r="I146" s="35"/>
      <c r="J146" s="35"/>
      <c r="K146" s="23"/>
      <c r="L146" s="35"/>
      <c r="M146" s="23">
        <f t="shared" si="8"/>
        <v>0</v>
      </c>
      <c r="N146" s="23">
        <v>0</v>
      </c>
      <c r="O146" s="56">
        <f t="shared" si="9"/>
        <v>835</v>
      </c>
      <c r="Q146" s="78" t="s">
        <v>63</v>
      </c>
      <c r="R146" s="79">
        <f>SUM(R142:R145)</f>
        <v>0</v>
      </c>
    </row>
    <row r="147" spans="7:18" ht="16" x14ac:dyDescent="0.35">
      <c r="G147" s="65"/>
      <c r="H147" s="44"/>
      <c r="I147" s="35"/>
      <c r="J147" s="35"/>
      <c r="K147" s="23"/>
      <c r="L147" s="35"/>
      <c r="M147" s="23">
        <f t="shared" si="8"/>
        <v>0</v>
      </c>
      <c r="N147" s="23">
        <v>0</v>
      </c>
      <c r="O147" s="56">
        <f t="shared" si="9"/>
        <v>835</v>
      </c>
    </row>
    <row r="148" spans="7:18" ht="16" x14ac:dyDescent="0.35">
      <c r="G148" s="65"/>
      <c r="H148" s="44"/>
      <c r="I148" s="35"/>
      <c r="J148" s="35"/>
      <c r="K148" s="23"/>
      <c r="L148" s="35"/>
      <c r="M148" s="23">
        <f t="shared" si="8"/>
        <v>0</v>
      </c>
      <c r="N148" s="23">
        <v>0</v>
      </c>
      <c r="O148" s="56">
        <f t="shared" si="9"/>
        <v>835</v>
      </c>
    </row>
    <row r="149" spans="7:18" ht="16" x14ac:dyDescent="0.35">
      <c r="G149" s="65"/>
      <c r="H149" s="44"/>
      <c r="I149" s="35"/>
      <c r="J149" s="35"/>
      <c r="K149" s="23"/>
      <c r="L149" s="35"/>
      <c r="M149" s="23">
        <f t="shared" si="8"/>
        <v>0</v>
      </c>
      <c r="N149" s="23">
        <v>0</v>
      </c>
      <c r="O149" s="56">
        <f t="shared" si="9"/>
        <v>835</v>
      </c>
    </row>
    <row r="150" spans="7:18" ht="16" x14ac:dyDescent="0.35">
      <c r="G150" s="65"/>
      <c r="H150" s="44"/>
      <c r="I150" s="35"/>
      <c r="J150" s="35"/>
      <c r="K150" s="23"/>
      <c r="L150" s="35"/>
      <c r="M150" s="23">
        <f t="shared" si="8"/>
        <v>0</v>
      </c>
      <c r="N150" s="23">
        <v>0</v>
      </c>
      <c r="O150" s="56">
        <f t="shared" si="9"/>
        <v>835</v>
      </c>
    </row>
    <row r="151" spans="7:18" ht="16" x14ac:dyDescent="0.35">
      <c r="G151" s="65"/>
      <c r="H151" s="44"/>
      <c r="I151" s="35"/>
      <c r="J151" s="35"/>
      <c r="K151" s="23"/>
      <c r="L151" s="35"/>
      <c r="M151" s="23">
        <f t="shared" si="8"/>
        <v>0</v>
      </c>
      <c r="N151" s="23">
        <v>0</v>
      </c>
      <c r="O151" s="56">
        <f t="shared" si="9"/>
        <v>835</v>
      </c>
    </row>
    <row r="152" spans="7:18" ht="16" x14ac:dyDescent="0.35">
      <c r="G152" s="65"/>
      <c r="H152" s="25"/>
      <c r="I152" s="35"/>
      <c r="J152" s="35"/>
      <c r="K152" s="23"/>
      <c r="L152" s="35"/>
      <c r="M152" s="23">
        <f t="shared" si="8"/>
        <v>0</v>
      </c>
      <c r="N152" s="23">
        <v>0</v>
      </c>
      <c r="O152" s="56">
        <f t="shared" si="9"/>
        <v>835</v>
      </c>
    </row>
    <row r="153" spans="7:18" ht="16" x14ac:dyDescent="0.35">
      <c r="G153" s="65"/>
      <c r="H153" s="25"/>
      <c r="I153" s="35"/>
      <c r="J153" s="35"/>
      <c r="K153" s="23"/>
      <c r="L153" s="35"/>
      <c r="M153" s="23">
        <f t="shared" si="8"/>
        <v>0</v>
      </c>
      <c r="N153" s="23">
        <v>0</v>
      </c>
      <c r="O153" s="56">
        <f t="shared" si="9"/>
        <v>835</v>
      </c>
    </row>
    <row r="154" spans="7:18" ht="16" x14ac:dyDescent="0.35">
      <c r="G154" s="65"/>
      <c r="H154" s="25"/>
      <c r="I154" s="35"/>
      <c r="J154" s="35"/>
      <c r="K154" s="23"/>
      <c r="L154" s="35"/>
      <c r="M154" s="23">
        <f t="shared" si="8"/>
        <v>0</v>
      </c>
      <c r="N154" s="23">
        <v>0</v>
      </c>
      <c r="O154" s="56">
        <f t="shared" si="9"/>
        <v>835</v>
      </c>
    </row>
    <row r="155" spans="7:18" ht="16" x14ac:dyDescent="0.35">
      <c r="G155" s="65"/>
      <c r="H155" s="25"/>
      <c r="I155" s="35"/>
      <c r="J155" s="35"/>
      <c r="K155" s="23"/>
      <c r="L155" s="35"/>
      <c r="M155" s="23">
        <f t="shared" si="8"/>
        <v>0</v>
      </c>
      <c r="N155" s="23">
        <v>0</v>
      </c>
      <c r="O155" s="56">
        <f t="shared" si="9"/>
        <v>835</v>
      </c>
    </row>
    <row r="156" spans="7:18" ht="16" x14ac:dyDescent="0.35">
      <c r="G156" s="65"/>
      <c r="H156" s="25"/>
      <c r="I156" s="35"/>
      <c r="J156" s="35"/>
      <c r="K156" s="23"/>
      <c r="L156" s="35"/>
      <c r="M156" s="23">
        <f t="shared" si="8"/>
        <v>0</v>
      </c>
      <c r="N156" s="23">
        <v>0</v>
      </c>
      <c r="O156" s="56">
        <f t="shared" si="9"/>
        <v>835</v>
      </c>
    </row>
    <row r="157" spans="7:18" ht="16" x14ac:dyDescent="0.35">
      <c r="G157" s="65"/>
      <c r="H157" s="25"/>
      <c r="I157" s="35"/>
      <c r="J157" s="35"/>
      <c r="K157" s="23"/>
      <c r="L157" s="35"/>
      <c r="M157" s="23">
        <f t="shared" si="8"/>
        <v>0</v>
      </c>
      <c r="N157" s="23">
        <v>0</v>
      </c>
      <c r="O157" s="56">
        <f t="shared" si="9"/>
        <v>835</v>
      </c>
    </row>
    <row r="158" spans="7:18" ht="16" x14ac:dyDescent="0.35">
      <c r="G158" s="65"/>
      <c r="H158" s="25"/>
      <c r="I158" s="35"/>
      <c r="J158" s="35"/>
      <c r="K158" s="23"/>
      <c r="L158" s="35"/>
      <c r="M158" s="23">
        <f t="shared" si="8"/>
        <v>0</v>
      </c>
      <c r="N158" s="23">
        <v>0</v>
      </c>
      <c r="O158" s="56">
        <f t="shared" si="9"/>
        <v>835</v>
      </c>
    </row>
    <row r="159" spans="7:18" ht="16" x14ac:dyDescent="0.35">
      <c r="G159" s="65"/>
      <c r="H159" s="25"/>
      <c r="I159" s="35"/>
      <c r="J159" s="35"/>
      <c r="K159" s="23"/>
      <c r="L159" s="35"/>
      <c r="M159" s="23">
        <f t="shared" si="8"/>
        <v>0</v>
      </c>
      <c r="N159" s="23">
        <v>0</v>
      </c>
      <c r="O159" s="56">
        <f t="shared" si="9"/>
        <v>835</v>
      </c>
    </row>
    <row r="160" spans="7:18" ht="16" x14ac:dyDescent="0.35">
      <c r="G160" s="65"/>
      <c r="H160" s="25"/>
      <c r="I160" s="35"/>
      <c r="J160" s="35"/>
      <c r="K160" s="23"/>
      <c r="L160" s="35"/>
      <c r="M160" s="23">
        <f t="shared" si="8"/>
        <v>0</v>
      </c>
      <c r="N160" s="23">
        <v>0</v>
      </c>
      <c r="O160" s="56">
        <f t="shared" si="9"/>
        <v>835</v>
      </c>
    </row>
    <row r="161" spans="7:15" ht="16" x14ac:dyDescent="0.35">
      <c r="G161" s="65"/>
      <c r="H161" s="25"/>
      <c r="I161" s="35"/>
      <c r="J161" s="35"/>
      <c r="K161" s="23"/>
      <c r="L161" s="35"/>
      <c r="M161" s="23">
        <f t="shared" si="8"/>
        <v>0</v>
      </c>
      <c r="N161" s="23">
        <v>0</v>
      </c>
      <c r="O161" s="56">
        <f t="shared" si="9"/>
        <v>835</v>
      </c>
    </row>
    <row r="162" spans="7:15" ht="16" x14ac:dyDescent="0.35">
      <c r="G162" s="65"/>
      <c r="H162" s="25"/>
      <c r="I162" s="35"/>
      <c r="J162" s="35"/>
      <c r="K162" s="23"/>
      <c r="L162" s="35"/>
      <c r="M162" s="23">
        <f t="shared" si="8"/>
        <v>0</v>
      </c>
      <c r="N162" s="23">
        <v>0</v>
      </c>
      <c r="O162" s="56">
        <f t="shared" si="9"/>
        <v>835</v>
      </c>
    </row>
    <row r="163" spans="7:15" ht="16" x14ac:dyDescent="0.35">
      <c r="G163" s="65"/>
      <c r="H163" s="25"/>
      <c r="I163" s="35"/>
      <c r="J163" s="35"/>
      <c r="K163" s="23"/>
      <c r="L163" s="35"/>
      <c r="M163" s="23">
        <f t="shared" si="8"/>
        <v>0</v>
      </c>
      <c r="N163" s="23">
        <v>0</v>
      </c>
      <c r="O163" s="56">
        <f t="shared" si="9"/>
        <v>835</v>
      </c>
    </row>
    <row r="164" spans="7:15" ht="16" x14ac:dyDescent="0.35">
      <c r="G164" s="65"/>
      <c r="H164" s="25"/>
      <c r="I164" s="35"/>
      <c r="J164" s="35"/>
      <c r="K164" s="23"/>
      <c r="L164" s="35"/>
      <c r="M164" s="23">
        <f t="shared" si="8"/>
        <v>0</v>
      </c>
      <c r="N164" s="23">
        <v>0</v>
      </c>
      <c r="O164" s="56">
        <f t="shared" si="9"/>
        <v>835</v>
      </c>
    </row>
    <row r="165" spans="7:15" ht="16" x14ac:dyDescent="0.35">
      <c r="G165" s="65"/>
      <c r="H165" s="25"/>
      <c r="I165" s="35"/>
      <c r="J165" s="35"/>
      <c r="K165" s="23"/>
      <c r="L165" s="35"/>
      <c r="M165" s="23">
        <f t="shared" si="8"/>
        <v>0</v>
      </c>
      <c r="N165" s="23">
        <v>0</v>
      </c>
      <c r="O165" s="56">
        <f t="shared" si="9"/>
        <v>835</v>
      </c>
    </row>
    <row r="166" spans="7:15" ht="16" x14ac:dyDescent="0.35">
      <c r="G166" s="65"/>
      <c r="H166" s="25"/>
      <c r="I166" s="35"/>
      <c r="J166" s="35"/>
      <c r="K166" s="23"/>
      <c r="L166" s="35"/>
      <c r="M166" s="23">
        <f t="shared" si="8"/>
        <v>0</v>
      </c>
      <c r="N166" s="23">
        <v>0</v>
      </c>
      <c r="O166" s="56">
        <f t="shared" si="9"/>
        <v>835</v>
      </c>
    </row>
    <row r="167" spans="7:15" ht="16" x14ac:dyDescent="0.35">
      <c r="G167" s="65"/>
      <c r="H167" s="25"/>
      <c r="I167" s="35"/>
      <c r="J167" s="35"/>
      <c r="K167" s="23"/>
      <c r="L167" s="35"/>
      <c r="M167" s="23">
        <f t="shared" si="8"/>
        <v>0</v>
      </c>
      <c r="N167" s="23">
        <v>0</v>
      </c>
      <c r="O167" s="56">
        <f t="shared" si="9"/>
        <v>835</v>
      </c>
    </row>
    <row r="168" spans="7:15" ht="16" x14ac:dyDescent="0.35">
      <c r="G168" s="65"/>
      <c r="H168" s="25"/>
      <c r="I168" s="35"/>
      <c r="J168" s="35"/>
      <c r="K168" s="23"/>
      <c r="L168" s="35"/>
      <c r="M168" s="23">
        <f t="shared" si="8"/>
        <v>0</v>
      </c>
      <c r="N168" s="23">
        <v>0</v>
      </c>
      <c r="O168" s="56">
        <f t="shared" si="9"/>
        <v>835</v>
      </c>
    </row>
    <row r="169" spans="7:15" ht="16" x14ac:dyDescent="0.35">
      <c r="G169" s="65"/>
      <c r="H169" s="25"/>
      <c r="I169" s="35"/>
      <c r="J169" s="35"/>
      <c r="K169" s="23"/>
      <c r="L169" s="35"/>
      <c r="M169" s="23">
        <f t="shared" si="8"/>
        <v>0</v>
      </c>
      <c r="N169" s="23">
        <v>0</v>
      </c>
      <c r="O169" s="56">
        <f t="shared" si="9"/>
        <v>835</v>
      </c>
    </row>
    <row r="170" spans="7:15" ht="16" x14ac:dyDescent="0.35">
      <c r="G170" s="65"/>
      <c r="H170" s="25"/>
      <c r="I170" s="35"/>
      <c r="J170" s="35"/>
      <c r="K170" s="23"/>
      <c r="L170" s="35"/>
      <c r="M170" s="23">
        <f t="shared" si="8"/>
        <v>0</v>
      </c>
      <c r="N170" s="23">
        <v>0</v>
      </c>
      <c r="O170" s="56">
        <f t="shared" si="9"/>
        <v>835</v>
      </c>
    </row>
    <row r="171" spans="7:15" ht="16" x14ac:dyDescent="0.35">
      <c r="G171" s="65"/>
      <c r="H171" s="25"/>
      <c r="I171" s="35"/>
      <c r="J171" s="35"/>
      <c r="K171" s="23"/>
      <c r="L171" s="35"/>
      <c r="M171" s="23">
        <f t="shared" si="8"/>
        <v>0</v>
      </c>
      <c r="N171" s="23">
        <v>0</v>
      </c>
      <c r="O171" s="56">
        <f t="shared" si="9"/>
        <v>835</v>
      </c>
    </row>
    <row r="172" spans="7:15" ht="16" x14ac:dyDescent="0.35">
      <c r="G172" s="65"/>
      <c r="H172" s="25"/>
      <c r="I172" s="35"/>
      <c r="J172" s="35"/>
      <c r="K172" s="23"/>
      <c r="L172" s="35"/>
      <c r="M172" s="23">
        <f t="shared" si="8"/>
        <v>0</v>
      </c>
      <c r="N172" s="23">
        <v>0</v>
      </c>
      <c r="O172" s="56">
        <f t="shared" si="9"/>
        <v>835</v>
      </c>
    </row>
    <row r="173" spans="7:15" ht="16" x14ac:dyDescent="0.35">
      <c r="G173" s="65"/>
      <c r="H173" s="25"/>
      <c r="I173" s="35"/>
      <c r="J173" s="35"/>
      <c r="K173" s="23"/>
      <c r="L173" s="35"/>
      <c r="M173" s="23">
        <f t="shared" si="8"/>
        <v>0</v>
      </c>
      <c r="N173" s="23">
        <v>0</v>
      </c>
      <c r="O173" s="56">
        <f t="shared" si="9"/>
        <v>835</v>
      </c>
    </row>
    <row r="174" spans="7:15" ht="16" x14ac:dyDescent="0.35">
      <c r="G174" s="65"/>
      <c r="H174" s="25"/>
      <c r="I174" s="35"/>
      <c r="J174" s="35"/>
      <c r="K174" s="23"/>
      <c r="L174" s="35"/>
      <c r="M174" s="23">
        <f t="shared" si="8"/>
        <v>0</v>
      </c>
      <c r="N174" s="23">
        <v>0</v>
      </c>
      <c r="O174" s="56">
        <f t="shared" si="9"/>
        <v>835</v>
      </c>
    </row>
    <row r="175" spans="7:15" ht="16" x14ac:dyDescent="0.35">
      <c r="G175" s="65"/>
      <c r="H175" s="25"/>
      <c r="I175" s="35"/>
      <c r="J175" s="35"/>
      <c r="K175" s="23"/>
      <c r="L175" s="35"/>
      <c r="M175" s="23">
        <f t="shared" si="8"/>
        <v>0</v>
      </c>
      <c r="N175" s="23">
        <v>0</v>
      </c>
      <c r="O175" s="56">
        <f t="shared" si="9"/>
        <v>835</v>
      </c>
    </row>
    <row r="176" spans="7:15" ht="16" x14ac:dyDescent="0.35">
      <c r="G176" s="65"/>
      <c r="H176" s="25"/>
      <c r="I176" s="35"/>
      <c r="J176" s="35"/>
      <c r="K176" s="23"/>
      <c r="L176" s="35"/>
      <c r="M176" s="23">
        <f t="shared" si="8"/>
        <v>0</v>
      </c>
      <c r="N176" s="23">
        <v>0</v>
      </c>
      <c r="O176" s="56">
        <f t="shared" si="9"/>
        <v>835</v>
      </c>
    </row>
    <row r="177" spans="7:15" ht="16" x14ac:dyDescent="0.35">
      <c r="G177" s="65"/>
      <c r="H177" s="25"/>
      <c r="I177" s="35"/>
      <c r="J177" s="35"/>
      <c r="K177" s="23"/>
      <c r="L177" s="35"/>
      <c r="M177" s="23">
        <f t="shared" si="8"/>
        <v>0</v>
      </c>
      <c r="N177" s="23">
        <v>0</v>
      </c>
      <c r="O177" s="56">
        <f t="shared" si="9"/>
        <v>835</v>
      </c>
    </row>
    <row r="178" spans="7:15" ht="16" x14ac:dyDescent="0.35">
      <c r="G178" s="65"/>
      <c r="H178" s="25"/>
      <c r="I178" s="35"/>
      <c r="J178" s="35"/>
      <c r="K178" s="23"/>
      <c r="L178" s="35"/>
      <c r="M178" s="23">
        <f t="shared" si="8"/>
        <v>0</v>
      </c>
      <c r="N178" s="23">
        <v>0</v>
      </c>
      <c r="O178" s="56">
        <f t="shared" si="9"/>
        <v>835</v>
      </c>
    </row>
    <row r="179" spans="7:15" ht="16" x14ac:dyDescent="0.35">
      <c r="G179" s="65"/>
      <c r="H179" s="25"/>
      <c r="I179" s="35"/>
      <c r="J179" s="35"/>
      <c r="K179" s="23"/>
      <c r="L179" s="35"/>
      <c r="M179" s="23">
        <f t="shared" si="8"/>
        <v>0</v>
      </c>
      <c r="N179" s="23">
        <v>0</v>
      </c>
      <c r="O179" s="56">
        <f t="shared" si="9"/>
        <v>835</v>
      </c>
    </row>
    <row r="180" spans="7:15" ht="16" x14ac:dyDescent="0.35">
      <c r="G180" s="65"/>
      <c r="H180" s="25"/>
      <c r="I180" s="35"/>
      <c r="J180" s="35"/>
      <c r="K180" s="23"/>
      <c r="L180" s="35"/>
      <c r="M180" s="23">
        <f t="shared" si="8"/>
        <v>0</v>
      </c>
      <c r="N180" s="23">
        <v>0</v>
      </c>
      <c r="O180" s="56">
        <f t="shared" si="9"/>
        <v>835</v>
      </c>
    </row>
    <row r="181" spans="7:15" ht="16" x14ac:dyDescent="0.35">
      <c r="G181" s="65"/>
      <c r="H181" s="25"/>
      <c r="I181" s="35"/>
      <c r="J181" s="35"/>
      <c r="K181" s="23"/>
      <c r="L181" s="35"/>
      <c r="M181" s="23">
        <f t="shared" si="8"/>
        <v>0</v>
      </c>
      <c r="N181" s="23">
        <v>0</v>
      </c>
      <c r="O181" s="56">
        <f t="shared" si="9"/>
        <v>835</v>
      </c>
    </row>
    <row r="182" spans="7:15" ht="16" x14ac:dyDescent="0.35">
      <c r="G182" s="65"/>
      <c r="H182" s="25"/>
      <c r="I182" s="35"/>
      <c r="J182" s="35"/>
      <c r="K182" s="23"/>
      <c r="L182" s="35"/>
      <c r="M182" s="23">
        <f t="shared" si="8"/>
        <v>0</v>
      </c>
      <c r="N182" s="23">
        <v>0</v>
      </c>
      <c r="O182" s="56">
        <f t="shared" si="9"/>
        <v>835</v>
      </c>
    </row>
    <row r="183" spans="7:15" ht="16" x14ac:dyDescent="0.35">
      <c r="G183" s="65"/>
      <c r="H183" s="25"/>
      <c r="I183" s="35"/>
      <c r="J183" s="35"/>
      <c r="K183" s="23"/>
      <c r="L183" s="35"/>
      <c r="M183" s="23">
        <f t="shared" si="8"/>
        <v>0</v>
      </c>
      <c r="N183" s="23">
        <v>0</v>
      </c>
      <c r="O183" s="56">
        <f t="shared" si="9"/>
        <v>835</v>
      </c>
    </row>
    <row r="184" spans="7:15" ht="16" x14ac:dyDescent="0.35">
      <c r="G184" s="65"/>
      <c r="H184" s="25"/>
      <c r="I184" s="35"/>
      <c r="J184" s="35"/>
      <c r="K184" s="23"/>
      <c r="L184" s="35"/>
      <c r="M184" s="23">
        <f t="shared" si="8"/>
        <v>0</v>
      </c>
      <c r="N184" s="23">
        <v>0</v>
      </c>
      <c r="O184" s="56">
        <f t="shared" si="9"/>
        <v>835</v>
      </c>
    </row>
    <row r="185" spans="7:15" ht="16" x14ac:dyDescent="0.35">
      <c r="G185" s="65"/>
      <c r="H185" s="25"/>
      <c r="I185" s="35"/>
      <c r="J185" s="35"/>
      <c r="K185" s="23"/>
      <c r="L185" s="35"/>
      <c r="M185" s="23">
        <f t="shared" si="8"/>
        <v>0</v>
      </c>
      <c r="N185" s="23">
        <v>0</v>
      </c>
      <c r="O185" s="56">
        <f t="shared" si="9"/>
        <v>835</v>
      </c>
    </row>
    <row r="186" spans="7:15" ht="16" x14ac:dyDescent="0.35">
      <c r="G186" s="65"/>
      <c r="H186" s="25"/>
      <c r="I186" s="35"/>
      <c r="J186" s="35"/>
      <c r="K186" s="23"/>
      <c r="L186" s="35"/>
      <c r="M186" s="23">
        <f t="shared" si="8"/>
        <v>0</v>
      </c>
      <c r="N186" s="23">
        <v>0</v>
      </c>
      <c r="O186" s="56">
        <f t="shared" si="9"/>
        <v>835</v>
      </c>
    </row>
    <row r="187" spans="7:15" ht="16" x14ac:dyDescent="0.35">
      <c r="G187" s="65"/>
      <c r="H187" s="25"/>
      <c r="I187" s="35"/>
      <c r="J187" s="35"/>
      <c r="K187" s="23"/>
      <c r="L187" s="35"/>
      <c r="M187" s="23">
        <f t="shared" si="8"/>
        <v>0</v>
      </c>
      <c r="N187" s="23">
        <v>0</v>
      </c>
      <c r="O187" s="56">
        <f t="shared" si="9"/>
        <v>835</v>
      </c>
    </row>
    <row r="188" spans="7:15" ht="16" x14ac:dyDescent="0.35">
      <c r="G188" s="65"/>
      <c r="H188" s="25"/>
      <c r="I188" s="35"/>
      <c r="J188" s="35"/>
      <c r="K188" s="23"/>
      <c r="L188" s="35"/>
      <c r="M188" s="23">
        <f t="shared" si="8"/>
        <v>0</v>
      </c>
      <c r="N188" s="23">
        <v>0</v>
      </c>
      <c r="O188" s="56">
        <f t="shared" si="9"/>
        <v>835</v>
      </c>
    </row>
    <row r="189" spans="7:15" ht="16" x14ac:dyDescent="0.35">
      <c r="G189" s="65"/>
      <c r="H189" s="25"/>
      <c r="I189" s="35"/>
      <c r="J189" s="35"/>
      <c r="K189" s="23"/>
      <c r="L189" s="35"/>
      <c r="M189" s="23">
        <f t="shared" si="8"/>
        <v>0</v>
      </c>
      <c r="N189" s="23">
        <v>0</v>
      </c>
      <c r="O189" s="56">
        <f t="shared" si="9"/>
        <v>835</v>
      </c>
    </row>
    <row r="190" spans="7:15" ht="16.5" thickBot="1" x14ac:dyDescent="0.4">
      <c r="G190" s="66"/>
      <c r="H190" s="37"/>
      <c r="I190" s="38"/>
      <c r="J190" s="38"/>
      <c r="K190" s="27"/>
      <c r="L190" s="38"/>
      <c r="M190" s="27">
        <f t="shared" si="8"/>
        <v>0</v>
      </c>
      <c r="N190" s="27">
        <v>0</v>
      </c>
      <c r="O190" s="60">
        <f t="shared" si="9"/>
        <v>835</v>
      </c>
    </row>
    <row r="191" spans="7:15" ht="16.5" thickBot="1" x14ac:dyDescent="0.4">
      <c r="H191" s="39"/>
      <c r="I191" s="39"/>
      <c r="J191" s="39"/>
      <c r="K191" s="39"/>
      <c r="L191" s="39"/>
      <c r="M191" s="30">
        <f>SUM(M135:M190)</f>
        <v>0</v>
      </c>
      <c r="N191" s="30">
        <f>SUM(N135:N190)</f>
        <v>0</v>
      </c>
      <c r="O191" s="42">
        <f>O190</f>
        <v>835</v>
      </c>
    </row>
    <row r="194" spans="7:15" ht="15" thickBot="1" x14ac:dyDescent="0.4"/>
    <row r="195" spans="7:15" ht="31" customHeight="1" thickBot="1" x14ac:dyDescent="0.4">
      <c r="H195" s="61" t="s">
        <v>49</v>
      </c>
      <c r="I195" s="62"/>
      <c r="J195" s="62"/>
      <c r="K195" s="62"/>
      <c r="L195" s="62"/>
      <c r="M195" s="62"/>
      <c r="N195" s="62"/>
      <c r="O195" s="63"/>
    </row>
    <row r="196" spans="7:15" ht="27" customHeight="1" x14ac:dyDescent="0.35">
      <c r="G196" s="70" t="s">
        <v>50</v>
      </c>
      <c r="H196" s="57" t="s">
        <v>11</v>
      </c>
      <c r="I196" s="58" t="s">
        <v>12</v>
      </c>
      <c r="J196" s="58" t="s">
        <v>33</v>
      </c>
      <c r="K196" s="58" t="s">
        <v>34</v>
      </c>
      <c r="L196" s="58" t="s">
        <v>43</v>
      </c>
      <c r="M196" s="58" t="s">
        <v>2</v>
      </c>
      <c r="N196" s="58" t="s">
        <v>1</v>
      </c>
      <c r="O196" s="59" t="s">
        <v>9</v>
      </c>
    </row>
    <row r="197" spans="7:15" ht="16" x14ac:dyDescent="0.35">
      <c r="G197" s="65"/>
      <c r="H197" s="54"/>
      <c r="I197" s="55"/>
      <c r="J197" s="55"/>
      <c r="K197" s="15"/>
      <c r="L197" s="55"/>
      <c r="M197" s="15">
        <f>K197*I197</f>
        <v>0</v>
      </c>
      <c r="N197" s="15">
        <v>0</v>
      </c>
      <c r="O197" s="56">
        <f>O191+M197-N197</f>
        <v>835</v>
      </c>
    </row>
    <row r="198" spans="7:15" ht="16" x14ac:dyDescent="0.35">
      <c r="G198" s="65"/>
      <c r="H198" s="54"/>
      <c r="I198" s="35"/>
      <c r="J198" s="35"/>
      <c r="K198" s="23"/>
      <c r="L198" s="35"/>
      <c r="M198" s="23">
        <f t="shared" ref="M198:M252" si="10">K198*I198</f>
        <v>0</v>
      </c>
      <c r="N198" s="23">
        <v>0</v>
      </c>
      <c r="O198" s="56">
        <f>O197+M198-N198</f>
        <v>835</v>
      </c>
    </row>
    <row r="199" spans="7:15" ht="16" x14ac:dyDescent="0.35">
      <c r="G199" s="65"/>
      <c r="H199" s="54"/>
      <c r="I199" s="35"/>
      <c r="J199" s="35"/>
      <c r="K199" s="23"/>
      <c r="L199" s="35"/>
      <c r="M199" s="23">
        <f t="shared" si="10"/>
        <v>0</v>
      </c>
      <c r="N199" s="23">
        <v>0</v>
      </c>
      <c r="O199" s="56">
        <f t="shared" ref="O199:O252" si="11">O198+M199-N199</f>
        <v>835</v>
      </c>
    </row>
    <row r="200" spans="7:15" ht="16" x14ac:dyDescent="0.35">
      <c r="G200" s="65"/>
      <c r="H200" s="54"/>
      <c r="I200" s="35"/>
      <c r="J200" s="35"/>
      <c r="K200" s="23"/>
      <c r="L200" s="35"/>
      <c r="M200" s="23">
        <f t="shared" si="10"/>
        <v>0</v>
      </c>
      <c r="N200" s="23">
        <v>0</v>
      </c>
      <c r="O200" s="56">
        <f t="shared" si="11"/>
        <v>835</v>
      </c>
    </row>
    <row r="201" spans="7:15" ht="16" x14ac:dyDescent="0.35">
      <c r="G201" s="65"/>
      <c r="H201" s="54"/>
      <c r="I201" s="35"/>
      <c r="J201" s="35"/>
      <c r="K201" s="23"/>
      <c r="L201" s="35"/>
      <c r="M201" s="23">
        <f t="shared" si="10"/>
        <v>0</v>
      </c>
      <c r="N201" s="23">
        <v>0</v>
      </c>
      <c r="O201" s="56">
        <f t="shared" si="11"/>
        <v>835</v>
      </c>
    </row>
    <row r="202" spans="7:15" ht="16" x14ac:dyDescent="0.35">
      <c r="G202" s="65"/>
      <c r="H202" s="54"/>
      <c r="I202" s="35"/>
      <c r="J202" s="35"/>
      <c r="K202" s="23"/>
      <c r="L202" s="35"/>
      <c r="M202" s="23">
        <f t="shared" si="10"/>
        <v>0</v>
      </c>
      <c r="N202" s="23">
        <v>0</v>
      </c>
      <c r="O202" s="56">
        <f t="shared" si="11"/>
        <v>835</v>
      </c>
    </row>
    <row r="203" spans="7:15" ht="16" x14ac:dyDescent="0.35">
      <c r="G203" s="65"/>
      <c r="H203" s="54"/>
      <c r="I203" s="35"/>
      <c r="J203" s="35"/>
      <c r="K203" s="23"/>
      <c r="L203" s="35"/>
      <c r="M203" s="23">
        <f t="shared" si="10"/>
        <v>0</v>
      </c>
      <c r="N203" s="23">
        <v>0</v>
      </c>
      <c r="O203" s="56">
        <f t="shared" si="11"/>
        <v>835</v>
      </c>
    </row>
    <row r="204" spans="7:15" ht="16" x14ac:dyDescent="0.35">
      <c r="G204" s="65"/>
      <c r="H204" s="54"/>
      <c r="I204" s="35"/>
      <c r="J204" s="35"/>
      <c r="K204" s="23"/>
      <c r="L204" s="35"/>
      <c r="M204" s="23">
        <f t="shared" si="10"/>
        <v>0</v>
      </c>
      <c r="N204" s="23">
        <v>0</v>
      </c>
      <c r="O204" s="56">
        <f t="shared" si="11"/>
        <v>835</v>
      </c>
    </row>
    <row r="205" spans="7:15" ht="16" x14ac:dyDescent="0.35">
      <c r="G205" s="65"/>
      <c r="H205" s="44"/>
      <c r="I205" s="35"/>
      <c r="J205" s="35"/>
      <c r="K205" s="23"/>
      <c r="L205" s="35"/>
      <c r="M205" s="23">
        <f t="shared" si="10"/>
        <v>0</v>
      </c>
      <c r="N205" s="23">
        <v>0</v>
      </c>
      <c r="O205" s="56">
        <f t="shared" si="11"/>
        <v>835</v>
      </c>
    </row>
    <row r="206" spans="7:15" ht="16" x14ac:dyDescent="0.35">
      <c r="G206" s="65"/>
      <c r="H206" s="44"/>
      <c r="I206" s="35"/>
      <c r="J206" s="35"/>
      <c r="K206" s="23"/>
      <c r="L206" s="35"/>
      <c r="M206" s="23">
        <f t="shared" si="10"/>
        <v>0</v>
      </c>
      <c r="N206" s="23">
        <v>0</v>
      </c>
      <c r="O206" s="56">
        <f t="shared" si="11"/>
        <v>835</v>
      </c>
    </row>
    <row r="207" spans="7:15" ht="16" x14ac:dyDescent="0.35">
      <c r="G207" s="65"/>
      <c r="H207" s="44"/>
      <c r="I207" s="35"/>
      <c r="J207" s="35"/>
      <c r="K207" s="23"/>
      <c r="L207" s="35"/>
      <c r="M207" s="23">
        <f t="shared" si="10"/>
        <v>0</v>
      </c>
      <c r="N207" s="23">
        <v>0</v>
      </c>
      <c r="O207" s="56">
        <f t="shared" si="11"/>
        <v>835</v>
      </c>
    </row>
    <row r="208" spans="7:15" ht="16.5" thickBot="1" x14ac:dyDescent="0.4">
      <c r="G208" s="65"/>
      <c r="H208" s="44"/>
      <c r="I208" s="35"/>
      <c r="J208" s="35"/>
      <c r="K208" s="23"/>
      <c r="L208" s="35"/>
      <c r="M208" s="23">
        <f t="shared" si="10"/>
        <v>0</v>
      </c>
      <c r="N208" s="23">
        <v>0</v>
      </c>
      <c r="O208" s="56">
        <f t="shared" si="11"/>
        <v>835</v>
      </c>
    </row>
    <row r="209" spans="7:18" ht="16.5" thickBot="1" x14ac:dyDescent="0.4">
      <c r="G209" s="65"/>
      <c r="H209" s="44"/>
      <c r="I209" s="35"/>
      <c r="J209" s="35"/>
      <c r="K209" s="23"/>
      <c r="L209" s="35"/>
      <c r="M209" s="23">
        <f t="shared" si="10"/>
        <v>0</v>
      </c>
      <c r="N209" s="23">
        <v>0</v>
      </c>
      <c r="O209" s="56">
        <f t="shared" si="11"/>
        <v>835</v>
      </c>
      <c r="Q209" s="80" t="s">
        <v>68</v>
      </c>
      <c r="R209" s="81"/>
    </row>
    <row r="210" spans="7:18" ht="16" x14ac:dyDescent="0.35">
      <c r="G210" s="65"/>
      <c r="H210" s="44"/>
      <c r="I210" s="35"/>
      <c r="J210" s="35"/>
      <c r="K210" s="23"/>
      <c r="L210" s="35"/>
      <c r="M210" s="23">
        <f t="shared" si="10"/>
        <v>0</v>
      </c>
      <c r="N210" s="23">
        <v>0</v>
      </c>
      <c r="O210" s="56">
        <f t="shared" si="11"/>
        <v>835</v>
      </c>
      <c r="Q210" s="72" t="s">
        <v>25</v>
      </c>
      <c r="R210" s="73"/>
    </row>
    <row r="211" spans="7:18" ht="16" x14ac:dyDescent="0.35">
      <c r="G211" s="65"/>
      <c r="H211" s="44"/>
      <c r="I211" s="35"/>
      <c r="J211" s="35"/>
      <c r="K211" s="23"/>
      <c r="L211" s="35"/>
      <c r="M211" s="23">
        <f t="shared" si="10"/>
        <v>0</v>
      </c>
      <c r="N211" s="23">
        <v>0</v>
      </c>
      <c r="O211" s="56">
        <f t="shared" si="11"/>
        <v>835</v>
      </c>
      <c r="Q211" s="74" t="s">
        <v>36</v>
      </c>
      <c r="R211" s="75"/>
    </row>
    <row r="212" spans="7:18" ht="16" x14ac:dyDescent="0.35">
      <c r="G212" s="65"/>
      <c r="H212" s="44"/>
      <c r="I212" s="35"/>
      <c r="J212" s="35"/>
      <c r="K212" s="23"/>
      <c r="L212" s="35"/>
      <c r="M212" s="23">
        <f t="shared" si="10"/>
        <v>0</v>
      </c>
      <c r="N212" s="23">
        <v>0</v>
      </c>
      <c r="O212" s="56">
        <f t="shared" si="11"/>
        <v>835</v>
      </c>
      <c r="Q212" s="74" t="s">
        <v>37</v>
      </c>
      <c r="R212" s="75"/>
    </row>
    <row r="213" spans="7:18" ht="16.5" thickBot="1" x14ac:dyDescent="0.4">
      <c r="G213" s="65"/>
      <c r="H213" s="44"/>
      <c r="I213" s="35"/>
      <c r="J213" s="35"/>
      <c r="K213" s="23"/>
      <c r="L213" s="35"/>
      <c r="M213" s="23">
        <f t="shared" si="10"/>
        <v>0</v>
      </c>
      <c r="N213" s="23">
        <v>0</v>
      </c>
      <c r="O213" s="56">
        <f t="shared" si="11"/>
        <v>835</v>
      </c>
      <c r="Q213" s="76" t="s">
        <v>26</v>
      </c>
      <c r="R213" s="77"/>
    </row>
    <row r="214" spans="7:18" ht="16.5" thickBot="1" x14ac:dyDescent="0.4">
      <c r="G214" s="65"/>
      <c r="H214" s="25"/>
      <c r="I214" s="35"/>
      <c r="J214" s="35"/>
      <c r="K214" s="23"/>
      <c r="L214" s="35"/>
      <c r="M214" s="23">
        <f t="shared" si="10"/>
        <v>0</v>
      </c>
      <c r="N214" s="23">
        <v>0</v>
      </c>
      <c r="O214" s="56">
        <f t="shared" si="11"/>
        <v>835</v>
      </c>
      <c r="Q214" s="78" t="s">
        <v>63</v>
      </c>
      <c r="R214" s="79">
        <f>SUM(R210:R213)</f>
        <v>0</v>
      </c>
    </row>
    <row r="215" spans="7:18" ht="16" x14ac:dyDescent="0.35">
      <c r="G215" s="65"/>
      <c r="H215" s="25"/>
      <c r="I215" s="35"/>
      <c r="J215" s="35"/>
      <c r="K215" s="23"/>
      <c r="L215" s="35"/>
      <c r="M215" s="23">
        <f t="shared" si="10"/>
        <v>0</v>
      </c>
      <c r="N215" s="23">
        <v>0</v>
      </c>
      <c r="O215" s="56">
        <f t="shared" si="11"/>
        <v>835</v>
      </c>
    </row>
    <row r="216" spans="7:18" ht="16" x14ac:dyDescent="0.35">
      <c r="G216" s="65"/>
      <c r="H216" s="25"/>
      <c r="I216" s="35"/>
      <c r="J216" s="35"/>
      <c r="K216" s="23"/>
      <c r="L216" s="35"/>
      <c r="M216" s="23">
        <f t="shared" si="10"/>
        <v>0</v>
      </c>
      <c r="N216" s="23">
        <v>0</v>
      </c>
      <c r="O216" s="56">
        <f t="shared" si="11"/>
        <v>835</v>
      </c>
    </row>
    <row r="217" spans="7:18" ht="16" x14ac:dyDescent="0.35">
      <c r="G217" s="65"/>
      <c r="H217" s="25"/>
      <c r="I217" s="35"/>
      <c r="J217" s="35"/>
      <c r="K217" s="23"/>
      <c r="L217" s="35"/>
      <c r="M217" s="23">
        <f t="shared" si="10"/>
        <v>0</v>
      </c>
      <c r="N217" s="23">
        <v>0</v>
      </c>
      <c r="O217" s="56">
        <f t="shared" si="11"/>
        <v>835</v>
      </c>
    </row>
    <row r="218" spans="7:18" ht="16" x14ac:dyDescent="0.35">
      <c r="G218" s="65"/>
      <c r="H218" s="25"/>
      <c r="I218" s="35"/>
      <c r="J218" s="35"/>
      <c r="K218" s="23"/>
      <c r="L218" s="35"/>
      <c r="M218" s="23">
        <f t="shared" si="10"/>
        <v>0</v>
      </c>
      <c r="N218" s="23">
        <v>0</v>
      </c>
      <c r="O218" s="56">
        <f t="shared" si="11"/>
        <v>835</v>
      </c>
    </row>
    <row r="219" spans="7:18" ht="16" x14ac:dyDescent="0.35">
      <c r="G219" s="65"/>
      <c r="H219" s="25"/>
      <c r="I219" s="35"/>
      <c r="J219" s="35"/>
      <c r="K219" s="23"/>
      <c r="L219" s="35"/>
      <c r="M219" s="23">
        <f t="shared" si="10"/>
        <v>0</v>
      </c>
      <c r="N219" s="23">
        <v>0</v>
      </c>
      <c r="O219" s="56">
        <f t="shared" si="11"/>
        <v>835</v>
      </c>
    </row>
    <row r="220" spans="7:18" ht="16" x14ac:dyDescent="0.35">
      <c r="G220" s="65"/>
      <c r="H220" s="25"/>
      <c r="I220" s="35"/>
      <c r="J220" s="35"/>
      <c r="K220" s="23"/>
      <c r="L220" s="35"/>
      <c r="M220" s="23">
        <f t="shared" si="10"/>
        <v>0</v>
      </c>
      <c r="N220" s="23">
        <v>0</v>
      </c>
      <c r="O220" s="56">
        <f t="shared" si="11"/>
        <v>835</v>
      </c>
    </row>
    <row r="221" spans="7:18" ht="16" x14ac:dyDescent="0.35">
      <c r="G221" s="65"/>
      <c r="H221" s="25"/>
      <c r="I221" s="35"/>
      <c r="J221" s="35"/>
      <c r="K221" s="23"/>
      <c r="L221" s="35"/>
      <c r="M221" s="23">
        <f t="shared" si="10"/>
        <v>0</v>
      </c>
      <c r="N221" s="23">
        <v>0</v>
      </c>
      <c r="O221" s="56">
        <f t="shared" si="11"/>
        <v>835</v>
      </c>
    </row>
    <row r="222" spans="7:18" ht="16" x14ac:dyDescent="0.35">
      <c r="G222" s="65"/>
      <c r="H222" s="25"/>
      <c r="I222" s="35"/>
      <c r="J222" s="35"/>
      <c r="K222" s="23"/>
      <c r="L222" s="35"/>
      <c r="M222" s="23">
        <f t="shared" si="10"/>
        <v>0</v>
      </c>
      <c r="N222" s="23">
        <v>0</v>
      </c>
      <c r="O222" s="56">
        <f t="shared" si="11"/>
        <v>835</v>
      </c>
    </row>
    <row r="223" spans="7:18" ht="16" x14ac:dyDescent="0.35">
      <c r="G223" s="65"/>
      <c r="H223" s="25"/>
      <c r="I223" s="35"/>
      <c r="J223" s="35"/>
      <c r="K223" s="23"/>
      <c r="L223" s="35"/>
      <c r="M223" s="23">
        <f t="shared" si="10"/>
        <v>0</v>
      </c>
      <c r="N223" s="23">
        <v>0</v>
      </c>
      <c r="O223" s="56">
        <f t="shared" si="11"/>
        <v>835</v>
      </c>
    </row>
    <row r="224" spans="7:18" ht="16" x14ac:dyDescent="0.35">
      <c r="G224" s="65"/>
      <c r="H224" s="25"/>
      <c r="I224" s="35"/>
      <c r="J224" s="35"/>
      <c r="K224" s="23"/>
      <c r="L224" s="35"/>
      <c r="M224" s="23">
        <f t="shared" si="10"/>
        <v>0</v>
      </c>
      <c r="N224" s="23">
        <v>0</v>
      </c>
      <c r="O224" s="56">
        <f t="shared" si="11"/>
        <v>835</v>
      </c>
    </row>
    <row r="225" spans="7:15" ht="16" x14ac:dyDescent="0.35">
      <c r="G225" s="65"/>
      <c r="H225" s="25"/>
      <c r="I225" s="35"/>
      <c r="J225" s="35"/>
      <c r="K225" s="23"/>
      <c r="L225" s="35"/>
      <c r="M225" s="23">
        <f t="shared" si="10"/>
        <v>0</v>
      </c>
      <c r="N225" s="23">
        <v>0</v>
      </c>
      <c r="O225" s="56">
        <f t="shared" si="11"/>
        <v>835</v>
      </c>
    </row>
    <row r="226" spans="7:15" ht="16" x14ac:dyDescent="0.35">
      <c r="G226" s="65"/>
      <c r="H226" s="25"/>
      <c r="I226" s="35"/>
      <c r="J226" s="35"/>
      <c r="K226" s="23"/>
      <c r="L226" s="35"/>
      <c r="M226" s="23">
        <f t="shared" si="10"/>
        <v>0</v>
      </c>
      <c r="N226" s="23">
        <v>0</v>
      </c>
      <c r="O226" s="56">
        <f t="shared" si="11"/>
        <v>835</v>
      </c>
    </row>
    <row r="227" spans="7:15" ht="16" x14ac:dyDescent="0.35">
      <c r="G227" s="65"/>
      <c r="H227" s="25"/>
      <c r="I227" s="35"/>
      <c r="J227" s="35"/>
      <c r="K227" s="23"/>
      <c r="L227" s="35"/>
      <c r="M227" s="23">
        <f t="shared" si="10"/>
        <v>0</v>
      </c>
      <c r="N227" s="23">
        <v>0</v>
      </c>
      <c r="O227" s="56">
        <f t="shared" si="11"/>
        <v>835</v>
      </c>
    </row>
    <row r="228" spans="7:15" ht="16" x14ac:dyDescent="0.35">
      <c r="G228" s="65"/>
      <c r="H228" s="25"/>
      <c r="I228" s="35"/>
      <c r="J228" s="35"/>
      <c r="K228" s="23"/>
      <c r="L228" s="35"/>
      <c r="M228" s="23">
        <f t="shared" si="10"/>
        <v>0</v>
      </c>
      <c r="N228" s="23">
        <v>0</v>
      </c>
      <c r="O228" s="56">
        <f t="shared" si="11"/>
        <v>835</v>
      </c>
    </row>
    <row r="229" spans="7:15" ht="16" x14ac:dyDescent="0.35">
      <c r="G229" s="65"/>
      <c r="H229" s="25"/>
      <c r="I229" s="35"/>
      <c r="J229" s="35"/>
      <c r="K229" s="23"/>
      <c r="L229" s="35"/>
      <c r="M229" s="23">
        <f t="shared" si="10"/>
        <v>0</v>
      </c>
      <c r="N229" s="23">
        <v>0</v>
      </c>
      <c r="O229" s="56">
        <f t="shared" si="11"/>
        <v>835</v>
      </c>
    </row>
    <row r="230" spans="7:15" ht="16" x14ac:dyDescent="0.35">
      <c r="G230" s="65"/>
      <c r="H230" s="25"/>
      <c r="I230" s="35"/>
      <c r="J230" s="35"/>
      <c r="K230" s="23"/>
      <c r="L230" s="35"/>
      <c r="M230" s="23">
        <f t="shared" si="10"/>
        <v>0</v>
      </c>
      <c r="N230" s="23">
        <v>0</v>
      </c>
      <c r="O230" s="56">
        <f t="shared" si="11"/>
        <v>835</v>
      </c>
    </row>
    <row r="231" spans="7:15" ht="16" x14ac:dyDescent="0.35">
      <c r="G231" s="65"/>
      <c r="H231" s="25"/>
      <c r="I231" s="35"/>
      <c r="J231" s="35"/>
      <c r="K231" s="23"/>
      <c r="L231" s="35"/>
      <c r="M231" s="23">
        <f t="shared" si="10"/>
        <v>0</v>
      </c>
      <c r="N231" s="23">
        <v>0</v>
      </c>
      <c r="O231" s="56">
        <f t="shared" si="11"/>
        <v>835</v>
      </c>
    </row>
    <row r="232" spans="7:15" ht="16" x14ac:dyDescent="0.35">
      <c r="G232" s="65"/>
      <c r="H232" s="25"/>
      <c r="I232" s="35"/>
      <c r="J232" s="35"/>
      <c r="K232" s="23"/>
      <c r="L232" s="35"/>
      <c r="M232" s="23">
        <f t="shared" si="10"/>
        <v>0</v>
      </c>
      <c r="N232" s="23">
        <v>0</v>
      </c>
      <c r="O232" s="56">
        <f t="shared" si="11"/>
        <v>835</v>
      </c>
    </row>
    <row r="233" spans="7:15" ht="16" x14ac:dyDescent="0.35">
      <c r="G233" s="65"/>
      <c r="H233" s="25"/>
      <c r="I233" s="35"/>
      <c r="J233" s="35"/>
      <c r="K233" s="23"/>
      <c r="L233" s="35"/>
      <c r="M233" s="23">
        <f t="shared" si="10"/>
        <v>0</v>
      </c>
      <c r="N233" s="23">
        <v>0</v>
      </c>
      <c r="O233" s="56">
        <f t="shared" si="11"/>
        <v>835</v>
      </c>
    </row>
    <row r="234" spans="7:15" ht="16" x14ac:dyDescent="0.35">
      <c r="G234" s="65"/>
      <c r="H234" s="25"/>
      <c r="I234" s="35"/>
      <c r="J234" s="35"/>
      <c r="K234" s="23"/>
      <c r="L234" s="35"/>
      <c r="M234" s="23">
        <f t="shared" si="10"/>
        <v>0</v>
      </c>
      <c r="N234" s="23">
        <v>0</v>
      </c>
      <c r="O234" s="56">
        <f t="shared" si="11"/>
        <v>835</v>
      </c>
    </row>
    <row r="235" spans="7:15" ht="16" x14ac:dyDescent="0.35">
      <c r="G235" s="65"/>
      <c r="H235" s="25"/>
      <c r="I235" s="35"/>
      <c r="J235" s="35"/>
      <c r="K235" s="23"/>
      <c r="L235" s="35"/>
      <c r="M235" s="23">
        <f t="shared" si="10"/>
        <v>0</v>
      </c>
      <c r="N235" s="23">
        <v>0</v>
      </c>
      <c r="O235" s="56">
        <f t="shared" si="11"/>
        <v>835</v>
      </c>
    </row>
    <row r="236" spans="7:15" ht="16" x14ac:dyDescent="0.35">
      <c r="G236" s="65"/>
      <c r="H236" s="25"/>
      <c r="I236" s="35"/>
      <c r="J236" s="35"/>
      <c r="K236" s="23"/>
      <c r="L236" s="35"/>
      <c r="M236" s="23">
        <f t="shared" si="10"/>
        <v>0</v>
      </c>
      <c r="N236" s="23">
        <v>0</v>
      </c>
      <c r="O236" s="56">
        <f t="shared" si="11"/>
        <v>835</v>
      </c>
    </row>
    <row r="237" spans="7:15" ht="16" x14ac:dyDescent="0.35">
      <c r="G237" s="65"/>
      <c r="H237" s="25"/>
      <c r="I237" s="35"/>
      <c r="J237" s="35"/>
      <c r="K237" s="23"/>
      <c r="L237" s="35"/>
      <c r="M237" s="23">
        <f t="shared" si="10"/>
        <v>0</v>
      </c>
      <c r="N237" s="23">
        <v>0</v>
      </c>
      <c r="O237" s="56">
        <f t="shared" si="11"/>
        <v>835</v>
      </c>
    </row>
    <row r="238" spans="7:15" ht="16" x14ac:dyDescent="0.35">
      <c r="G238" s="65"/>
      <c r="H238" s="25"/>
      <c r="I238" s="35"/>
      <c r="J238" s="35"/>
      <c r="K238" s="23"/>
      <c r="L238" s="35"/>
      <c r="M238" s="23">
        <f t="shared" si="10"/>
        <v>0</v>
      </c>
      <c r="N238" s="23">
        <v>0</v>
      </c>
      <c r="O238" s="56">
        <f t="shared" si="11"/>
        <v>835</v>
      </c>
    </row>
    <row r="239" spans="7:15" ht="16" x14ac:dyDescent="0.35">
      <c r="G239" s="65"/>
      <c r="H239" s="25"/>
      <c r="I239" s="35"/>
      <c r="J239" s="35"/>
      <c r="K239" s="23"/>
      <c r="L239" s="35"/>
      <c r="M239" s="23">
        <f t="shared" si="10"/>
        <v>0</v>
      </c>
      <c r="N239" s="23">
        <v>0</v>
      </c>
      <c r="O239" s="56">
        <f t="shared" si="11"/>
        <v>835</v>
      </c>
    </row>
    <row r="240" spans="7:15" ht="16" x14ac:dyDescent="0.35">
      <c r="G240" s="65"/>
      <c r="H240" s="25"/>
      <c r="I240" s="35"/>
      <c r="J240" s="35"/>
      <c r="K240" s="23"/>
      <c r="L240" s="35"/>
      <c r="M240" s="23">
        <f t="shared" si="10"/>
        <v>0</v>
      </c>
      <c r="N240" s="23">
        <v>0</v>
      </c>
      <c r="O240" s="56">
        <f t="shared" si="11"/>
        <v>835</v>
      </c>
    </row>
    <row r="241" spans="7:15" ht="16" x14ac:dyDescent="0.35">
      <c r="G241" s="65"/>
      <c r="H241" s="25"/>
      <c r="I241" s="35"/>
      <c r="J241" s="35"/>
      <c r="K241" s="23"/>
      <c r="L241" s="35"/>
      <c r="M241" s="23">
        <f t="shared" si="10"/>
        <v>0</v>
      </c>
      <c r="N241" s="23">
        <v>0</v>
      </c>
      <c r="O241" s="56">
        <f t="shared" si="11"/>
        <v>835</v>
      </c>
    </row>
    <row r="242" spans="7:15" ht="16" x14ac:dyDescent="0.35">
      <c r="G242" s="65"/>
      <c r="H242" s="25"/>
      <c r="I242" s="35"/>
      <c r="J242" s="35"/>
      <c r="K242" s="23"/>
      <c r="L242" s="35"/>
      <c r="M242" s="23">
        <f t="shared" si="10"/>
        <v>0</v>
      </c>
      <c r="N242" s="23">
        <v>0</v>
      </c>
      <c r="O242" s="56">
        <f t="shared" si="11"/>
        <v>835</v>
      </c>
    </row>
    <row r="243" spans="7:15" ht="16" x14ac:dyDescent="0.35">
      <c r="G243" s="65"/>
      <c r="H243" s="25"/>
      <c r="I243" s="35"/>
      <c r="J243" s="35"/>
      <c r="K243" s="23"/>
      <c r="L243" s="35"/>
      <c r="M243" s="23">
        <f t="shared" si="10"/>
        <v>0</v>
      </c>
      <c r="N243" s="23">
        <v>0</v>
      </c>
      <c r="O243" s="56">
        <f t="shared" si="11"/>
        <v>835</v>
      </c>
    </row>
    <row r="244" spans="7:15" ht="16" x14ac:dyDescent="0.35">
      <c r="G244" s="65"/>
      <c r="H244" s="25"/>
      <c r="I244" s="35"/>
      <c r="J244" s="35"/>
      <c r="K244" s="23"/>
      <c r="L244" s="35"/>
      <c r="M244" s="23">
        <f t="shared" si="10"/>
        <v>0</v>
      </c>
      <c r="N244" s="23">
        <v>0</v>
      </c>
      <c r="O244" s="56">
        <f t="shared" si="11"/>
        <v>835</v>
      </c>
    </row>
    <row r="245" spans="7:15" ht="16" x14ac:dyDescent="0.35">
      <c r="G245" s="65"/>
      <c r="H245" s="25"/>
      <c r="I245" s="35"/>
      <c r="J245" s="35"/>
      <c r="K245" s="23"/>
      <c r="L245" s="35"/>
      <c r="M245" s="23">
        <f t="shared" si="10"/>
        <v>0</v>
      </c>
      <c r="N245" s="23">
        <v>0</v>
      </c>
      <c r="O245" s="56">
        <f t="shared" si="11"/>
        <v>835</v>
      </c>
    </row>
    <row r="246" spans="7:15" ht="16" x14ac:dyDescent="0.35">
      <c r="G246" s="65"/>
      <c r="H246" s="25"/>
      <c r="I246" s="35"/>
      <c r="J246" s="35"/>
      <c r="K246" s="23"/>
      <c r="L246" s="35"/>
      <c r="M246" s="23">
        <f t="shared" si="10"/>
        <v>0</v>
      </c>
      <c r="N246" s="23">
        <v>0</v>
      </c>
      <c r="O246" s="56">
        <f t="shared" si="11"/>
        <v>835</v>
      </c>
    </row>
    <row r="247" spans="7:15" ht="16" x14ac:dyDescent="0.35">
      <c r="G247" s="65"/>
      <c r="H247" s="25"/>
      <c r="I247" s="35"/>
      <c r="J247" s="35"/>
      <c r="K247" s="23"/>
      <c r="L247" s="35"/>
      <c r="M247" s="23">
        <f t="shared" si="10"/>
        <v>0</v>
      </c>
      <c r="N247" s="23">
        <v>0</v>
      </c>
      <c r="O247" s="56">
        <f t="shared" si="11"/>
        <v>835</v>
      </c>
    </row>
    <row r="248" spans="7:15" ht="16" x14ac:dyDescent="0.35">
      <c r="G248" s="65"/>
      <c r="H248" s="25"/>
      <c r="I248" s="35"/>
      <c r="J248" s="35"/>
      <c r="K248" s="23"/>
      <c r="L248" s="35"/>
      <c r="M248" s="23">
        <f t="shared" si="10"/>
        <v>0</v>
      </c>
      <c r="N248" s="23">
        <v>0</v>
      </c>
      <c r="O248" s="56">
        <f t="shared" si="11"/>
        <v>835</v>
      </c>
    </row>
    <row r="249" spans="7:15" ht="16" x14ac:dyDescent="0.35">
      <c r="G249" s="65"/>
      <c r="H249" s="25"/>
      <c r="I249" s="35"/>
      <c r="J249" s="35"/>
      <c r="K249" s="23"/>
      <c r="L249" s="35"/>
      <c r="M249" s="23">
        <f t="shared" si="10"/>
        <v>0</v>
      </c>
      <c r="N249" s="23">
        <v>0</v>
      </c>
      <c r="O249" s="56">
        <f t="shared" si="11"/>
        <v>835</v>
      </c>
    </row>
    <row r="250" spans="7:15" ht="16" x14ac:dyDescent="0.35">
      <c r="G250" s="65"/>
      <c r="H250" s="25"/>
      <c r="I250" s="35"/>
      <c r="J250" s="35"/>
      <c r="K250" s="23"/>
      <c r="L250" s="35"/>
      <c r="M250" s="23">
        <f t="shared" si="10"/>
        <v>0</v>
      </c>
      <c r="N250" s="23">
        <v>0</v>
      </c>
      <c r="O250" s="56">
        <f t="shared" si="11"/>
        <v>835</v>
      </c>
    </row>
    <row r="251" spans="7:15" ht="16" x14ac:dyDescent="0.35">
      <c r="G251" s="65"/>
      <c r="H251" s="25"/>
      <c r="I251" s="35"/>
      <c r="J251" s="35"/>
      <c r="K251" s="23"/>
      <c r="L251" s="35"/>
      <c r="M251" s="23">
        <f t="shared" si="10"/>
        <v>0</v>
      </c>
      <c r="N251" s="23">
        <v>0</v>
      </c>
      <c r="O251" s="56">
        <f t="shared" si="11"/>
        <v>835</v>
      </c>
    </row>
    <row r="252" spans="7:15" ht="16.5" thickBot="1" x14ac:dyDescent="0.4">
      <c r="G252" s="66"/>
      <c r="H252" s="37"/>
      <c r="I252" s="38"/>
      <c r="J252" s="38"/>
      <c r="K252" s="27"/>
      <c r="L252" s="38"/>
      <c r="M252" s="27">
        <f t="shared" si="10"/>
        <v>0</v>
      </c>
      <c r="N252" s="27">
        <v>0</v>
      </c>
      <c r="O252" s="60">
        <f t="shared" si="11"/>
        <v>835</v>
      </c>
    </row>
    <row r="253" spans="7:15" ht="16.5" thickBot="1" x14ac:dyDescent="0.4">
      <c r="H253" s="39"/>
      <c r="I253" s="39"/>
      <c r="J253" s="39"/>
      <c r="K253" s="39"/>
      <c r="L253" s="39"/>
      <c r="M253" s="30">
        <f>SUM(M197:M252)</f>
        <v>0</v>
      </c>
      <c r="N253" s="30">
        <f>SUM(N197:N252)</f>
        <v>0</v>
      </c>
      <c r="O253" s="42">
        <f>O252</f>
        <v>835</v>
      </c>
    </row>
    <row r="255" spans="7:15" ht="15" thickBot="1" x14ac:dyDescent="0.4"/>
    <row r="256" spans="7:15" ht="37.5" customHeight="1" thickBot="1" x14ac:dyDescent="0.4">
      <c r="H256" s="61" t="s">
        <v>51</v>
      </c>
      <c r="I256" s="62"/>
      <c r="J256" s="62"/>
      <c r="K256" s="62"/>
      <c r="L256" s="62"/>
      <c r="M256" s="62"/>
      <c r="N256" s="62"/>
      <c r="O256" s="63"/>
    </row>
    <row r="257" spans="7:18" ht="28" customHeight="1" x14ac:dyDescent="0.35">
      <c r="G257" s="70" t="s">
        <v>52</v>
      </c>
      <c r="H257" s="57" t="s">
        <v>11</v>
      </c>
      <c r="I257" s="58" t="s">
        <v>12</v>
      </c>
      <c r="J257" s="58" t="s">
        <v>33</v>
      </c>
      <c r="K257" s="58" t="s">
        <v>34</v>
      </c>
      <c r="L257" s="58" t="s">
        <v>43</v>
      </c>
      <c r="M257" s="58" t="s">
        <v>2</v>
      </c>
      <c r="N257" s="58" t="s">
        <v>1</v>
      </c>
      <c r="O257" s="59" t="s">
        <v>9</v>
      </c>
    </row>
    <row r="258" spans="7:18" ht="16" x14ac:dyDescent="0.35">
      <c r="G258" s="65"/>
      <c r="H258" s="54"/>
      <c r="I258" s="55"/>
      <c r="J258" s="55"/>
      <c r="K258" s="15"/>
      <c r="L258" s="55"/>
      <c r="M258" s="15">
        <f>K258*I258</f>
        <v>0</v>
      </c>
      <c r="N258" s="15">
        <v>0</v>
      </c>
      <c r="O258" s="56">
        <f>O253+M258-N258</f>
        <v>835</v>
      </c>
    </row>
    <row r="259" spans="7:18" ht="16" x14ac:dyDescent="0.35">
      <c r="G259" s="65"/>
      <c r="H259" s="54"/>
      <c r="I259" s="35"/>
      <c r="J259" s="35"/>
      <c r="K259" s="23"/>
      <c r="L259" s="35"/>
      <c r="M259" s="23">
        <f t="shared" ref="M259:M313" si="12">K259*I259</f>
        <v>0</v>
      </c>
      <c r="N259" s="23">
        <v>0</v>
      </c>
      <c r="O259" s="56">
        <f>O258+M259-N259</f>
        <v>835</v>
      </c>
    </row>
    <row r="260" spans="7:18" ht="16" x14ac:dyDescent="0.35">
      <c r="G260" s="65"/>
      <c r="H260" s="54"/>
      <c r="I260" s="35"/>
      <c r="J260" s="35"/>
      <c r="K260" s="23"/>
      <c r="L260" s="35"/>
      <c r="M260" s="23">
        <f t="shared" si="12"/>
        <v>0</v>
      </c>
      <c r="N260" s="23">
        <v>0</v>
      </c>
      <c r="O260" s="56">
        <f t="shared" ref="O260:O313" si="13">O259+M260-N260</f>
        <v>835</v>
      </c>
    </row>
    <row r="261" spans="7:18" ht="16.5" thickBot="1" x14ac:dyDescent="0.4">
      <c r="G261" s="65"/>
      <c r="H261" s="54"/>
      <c r="I261" s="35"/>
      <c r="J261" s="35"/>
      <c r="K261" s="23"/>
      <c r="L261" s="35"/>
      <c r="M261" s="23">
        <f t="shared" si="12"/>
        <v>0</v>
      </c>
      <c r="N261" s="23">
        <v>0</v>
      </c>
      <c r="O261" s="56">
        <f t="shared" si="13"/>
        <v>835</v>
      </c>
    </row>
    <row r="262" spans="7:18" ht="16.5" thickBot="1" x14ac:dyDescent="0.4">
      <c r="G262" s="65"/>
      <c r="H262" s="54"/>
      <c r="I262" s="35"/>
      <c r="J262" s="35"/>
      <c r="K262" s="23"/>
      <c r="L262" s="35"/>
      <c r="M262" s="23">
        <f t="shared" si="12"/>
        <v>0</v>
      </c>
      <c r="N262" s="23">
        <v>0</v>
      </c>
      <c r="O262" s="56">
        <f t="shared" si="13"/>
        <v>835</v>
      </c>
      <c r="Q262" s="80" t="s">
        <v>69</v>
      </c>
      <c r="R262" s="81"/>
    </row>
    <row r="263" spans="7:18" ht="16" x14ac:dyDescent="0.35">
      <c r="G263" s="65"/>
      <c r="H263" s="54"/>
      <c r="I263" s="35"/>
      <c r="J263" s="35"/>
      <c r="K263" s="23"/>
      <c r="L263" s="35"/>
      <c r="M263" s="23">
        <f t="shared" si="12"/>
        <v>0</v>
      </c>
      <c r="N263" s="23">
        <v>0</v>
      </c>
      <c r="O263" s="56">
        <f t="shared" si="13"/>
        <v>835</v>
      </c>
      <c r="Q263" s="72" t="s">
        <v>25</v>
      </c>
      <c r="R263" s="73"/>
    </row>
    <row r="264" spans="7:18" ht="16" x14ac:dyDescent="0.35">
      <c r="G264" s="65"/>
      <c r="H264" s="54"/>
      <c r="I264" s="35"/>
      <c r="J264" s="35"/>
      <c r="K264" s="23"/>
      <c r="L264" s="35"/>
      <c r="M264" s="23">
        <f t="shared" si="12"/>
        <v>0</v>
      </c>
      <c r="N264" s="23">
        <v>0</v>
      </c>
      <c r="O264" s="56">
        <f t="shared" si="13"/>
        <v>835</v>
      </c>
      <c r="Q264" s="74" t="s">
        <v>36</v>
      </c>
      <c r="R264" s="75"/>
    </row>
    <row r="265" spans="7:18" ht="16" x14ac:dyDescent="0.35">
      <c r="G265" s="65"/>
      <c r="H265" s="54"/>
      <c r="I265" s="35"/>
      <c r="J265" s="35"/>
      <c r="K265" s="23"/>
      <c r="L265" s="35"/>
      <c r="M265" s="23">
        <f t="shared" si="12"/>
        <v>0</v>
      </c>
      <c r="N265" s="23">
        <v>0</v>
      </c>
      <c r="O265" s="56">
        <f t="shared" si="13"/>
        <v>835</v>
      </c>
      <c r="Q265" s="74" t="s">
        <v>37</v>
      </c>
      <c r="R265" s="75"/>
    </row>
    <row r="266" spans="7:18" ht="16.5" thickBot="1" x14ac:dyDescent="0.4">
      <c r="G266" s="65"/>
      <c r="H266" s="44"/>
      <c r="I266" s="35"/>
      <c r="J266" s="35"/>
      <c r="K266" s="23"/>
      <c r="L266" s="35"/>
      <c r="M266" s="23">
        <f t="shared" si="12"/>
        <v>0</v>
      </c>
      <c r="N266" s="23">
        <v>0</v>
      </c>
      <c r="O266" s="56">
        <f t="shared" si="13"/>
        <v>835</v>
      </c>
      <c r="Q266" s="76" t="s">
        <v>26</v>
      </c>
      <c r="R266" s="77"/>
    </row>
    <row r="267" spans="7:18" ht="16.5" thickBot="1" x14ac:dyDescent="0.4">
      <c r="G267" s="65"/>
      <c r="H267" s="44"/>
      <c r="I267" s="35"/>
      <c r="J267" s="35"/>
      <c r="K267" s="23"/>
      <c r="L267" s="35"/>
      <c r="M267" s="23">
        <f t="shared" si="12"/>
        <v>0</v>
      </c>
      <c r="N267" s="23">
        <v>0</v>
      </c>
      <c r="O267" s="56">
        <f t="shared" si="13"/>
        <v>835</v>
      </c>
      <c r="Q267" s="78" t="s">
        <v>63</v>
      </c>
      <c r="R267" s="79">
        <f>SUM(R263:R266)</f>
        <v>0</v>
      </c>
    </row>
    <row r="268" spans="7:18" ht="16" x14ac:dyDescent="0.35">
      <c r="G268" s="65"/>
      <c r="H268" s="44"/>
      <c r="I268" s="35"/>
      <c r="J268" s="35"/>
      <c r="K268" s="23"/>
      <c r="L268" s="35"/>
      <c r="M268" s="23">
        <f t="shared" si="12"/>
        <v>0</v>
      </c>
      <c r="N268" s="23">
        <v>0</v>
      </c>
      <c r="O268" s="56">
        <f t="shared" si="13"/>
        <v>835</v>
      </c>
    </row>
    <row r="269" spans="7:18" ht="16" x14ac:dyDescent="0.35">
      <c r="G269" s="65"/>
      <c r="H269" s="44"/>
      <c r="I269" s="35"/>
      <c r="J269" s="35"/>
      <c r="K269" s="23"/>
      <c r="L269" s="35"/>
      <c r="M269" s="23">
        <f t="shared" si="12"/>
        <v>0</v>
      </c>
      <c r="N269" s="23">
        <v>0</v>
      </c>
      <c r="O269" s="56">
        <f t="shared" si="13"/>
        <v>835</v>
      </c>
    </row>
    <row r="270" spans="7:18" ht="16" x14ac:dyDescent="0.35">
      <c r="G270" s="65"/>
      <c r="H270" s="44"/>
      <c r="I270" s="35"/>
      <c r="J270" s="35"/>
      <c r="K270" s="23"/>
      <c r="L270" s="35"/>
      <c r="M270" s="23">
        <f t="shared" si="12"/>
        <v>0</v>
      </c>
      <c r="N270" s="23">
        <v>0</v>
      </c>
      <c r="O270" s="56">
        <f t="shared" si="13"/>
        <v>835</v>
      </c>
    </row>
    <row r="271" spans="7:18" ht="16" x14ac:dyDescent="0.35">
      <c r="G271" s="65"/>
      <c r="H271" s="44"/>
      <c r="I271" s="35"/>
      <c r="J271" s="35"/>
      <c r="K271" s="23"/>
      <c r="L271" s="35"/>
      <c r="M271" s="23">
        <f t="shared" si="12"/>
        <v>0</v>
      </c>
      <c r="N271" s="23">
        <v>0</v>
      </c>
      <c r="O271" s="56">
        <f t="shared" si="13"/>
        <v>835</v>
      </c>
    </row>
    <row r="272" spans="7:18" ht="16" x14ac:dyDescent="0.35">
      <c r="G272" s="65"/>
      <c r="H272" s="44"/>
      <c r="I272" s="35"/>
      <c r="J272" s="35"/>
      <c r="K272" s="23"/>
      <c r="L272" s="35"/>
      <c r="M272" s="23">
        <f t="shared" si="12"/>
        <v>0</v>
      </c>
      <c r="N272" s="23">
        <v>0</v>
      </c>
      <c r="O272" s="56">
        <f t="shared" si="13"/>
        <v>835</v>
      </c>
    </row>
    <row r="273" spans="7:15" ht="16" x14ac:dyDescent="0.35">
      <c r="G273" s="65"/>
      <c r="H273" s="44"/>
      <c r="I273" s="35"/>
      <c r="J273" s="35"/>
      <c r="K273" s="23"/>
      <c r="L273" s="35"/>
      <c r="M273" s="23">
        <f t="shared" si="12"/>
        <v>0</v>
      </c>
      <c r="N273" s="23">
        <v>0</v>
      </c>
      <c r="O273" s="56">
        <f t="shared" si="13"/>
        <v>835</v>
      </c>
    </row>
    <row r="274" spans="7:15" ht="16" x14ac:dyDescent="0.35">
      <c r="G274" s="65"/>
      <c r="H274" s="44"/>
      <c r="I274" s="35"/>
      <c r="J274" s="35"/>
      <c r="K274" s="23"/>
      <c r="L274" s="35"/>
      <c r="M274" s="23">
        <f t="shared" si="12"/>
        <v>0</v>
      </c>
      <c r="N274" s="23">
        <v>0</v>
      </c>
      <c r="O274" s="56">
        <f t="shared" si="13"/>
        <v>835</v>
      </c>
    </row>
    <row r="275" spans="7:15" ht="16" x14ac:dyDescent="0.35">
      <c r="G275" s="65"/>
      <c r="H275" s="25"/>
      <c r="I275" s="35"/>
      <c r="J275" s="35"/>
      <c r="K275" s="23"/>
      <c r="L275" s="35"/>
      <c r="M275" s="23">
        <f t="shared" si="12"/>
        <v>0</v>
      </c>
      <c r="N275" s="23">
        <v>0</v>
      </c>
      <c r="O275" s="56">
        <f t="shared" si="13"/>
        <v>835</v>
      </c>
    </row>
    <row r="276" spans="7:15" ht="16" x14ac:dyDescent="0.35">
      <c r="G276" s="65"/>
      <c r="H276" s="25"/>
      <c r="I276" s="35"/>
      <c r="J276" s="35"/>
      <c r="K276" s="23"/>
      <c r="L276" s="35"/>
      <c r="M276" s="23">
        <f t="shared" si="12"/>
        <v>0</v>
      </c>
      <c r="N276" s="23">
        <v>0</v>
      </c>
      <c r="O276" s="56">
        <f t="shared" si="13"/>
        <v>835</v>
      </c>
    </row>
    <row r="277" spans="7:15" ht="16" x14ac:dyDescent="0.35">
      <c r="G277" s="65"/>
      <c r="H277" s="25"/>
      <c r="I277" s="35"/>
      <c r="J277" s="35"/>
      <c r="K277" s="23"/>
      <c r="L277" s="35"/>
      <c r="M277" s="23">
        <f t="shared" si="12"/>
        <v>0</v>
      </c>
      <c r="N277" s="23">
        <v>0</v>
      </c>
      <c r="O277" s="56">
        <f t="shared" si="13"/>
        <v>835</v>
      </c>
    </row>
    <row r="278" spans="7:15" ht="16" x14ac:dyDescent="0.35">
      <c r="G278" s="65"/>
      <c r="H278" s="25"/>
      <c r="I278" s="35"/>
      <c r="J278" s="35"/>
      <c r="K278" s="23"/>
      <c r="L278" s="35"/>
      <c r="M278" s="23">
        <f t="shared" si="12"/>
        <v>0</v>
      </c>
      <c r="N278" s="23">
        <v>0</v>
      </c>
      <c r="O278" s="56">
        <f t="shared" si="13"/>
        <v>835</v>
      </c>
    </row>
    <row r="279" spans="7:15" ht="16" x14ac:dyDescent="0.35">
      <c r="G279" s="65"/>
      <c r="H279" s="25"/>
      <c r="I279" s="35"/>
      <c r="J279" s="35"/>
      <c r="K279" s="23"/>
      <c r="L279" s="35"/>
      <c r="M279" s="23">
        <f t="shared" si="12"/>
        <v>0</v>
      </c>
      <c r="N279" s="23">
        <v>0</v>
      </c>
      <c r="O279" s="56">
        <f t="shared" si="13"/>
        <v>835</v>
      </c>
    </row>
    <row r="280" spans="7:15" ht="16" x14ac:dyDescent="0.35">
      <c r="G280" s="65"/>
      <c r="H280" s="25"/>
      <c r="I280" s="35"/>
      <c r="J280" s="35"/>
      <c r="K280" s="23"/>
      <c r="L280" s="35"/>
      <c r="M280" s="23">
        <f t="shared" si="12"/>
        <v>0</v>
      </c>
      <c r="N280" s="23">
        <v>0</v>
      </c>
      <c r="O280" s="56">
        <f t="shared" si="13"/>
        <v>835</v>
      </c>
    </row>
    <row r="281" spans="7:15" ht="16" x14ac:dyDescent="0.35">
      <c r="G281" s="65"/>
      <c r="H281" s="25"/>
      <c r="I281" s="35"/>
      <c r="J281" s="35"/>
      <c r="K281" s="23"/>
      <c r="L281" s="35"/>
      <c r="M281" s="23">
        <f t="shared" si="12"/>
        <v>0</v>
      </c>
      <c r="N281" s="23">
        <v>0</v>
      </c>
      <c r="O281" s="56">
        <f t="shared" si="13"/>
        <v>835</v>
      </c>
    </row>
    <row r="282" spans="7:15" ht="16" x14ac:dyDescent="0.35">
      <c r="G282" s="65"/>
      <c r="H282" s="25"/>
      <c r="I282" s="35"/>
      <c r="J282" s="35"/>
      <c r="K282" s="23"/>
      <c r="L282" s="35"/>
      <c r="M282" s="23">
        <f t="shared" si="12"/>
        <v>0</v>
      </c>
      <c r="N282" s="23">
        <v>0</v>
      </c>
      <c r="O282" s="56">
        <f t="shared" si="13"/>
        <v>835</v>
      </c>
    </row>
    <row r="283" spans="7:15" ht="16" x14ac:dyDescent="0.35">
      <c r="G283" s="65"/>
      <c r="H283" s="25"/>
      <c r="I283" s="35"/>
      <c r="J283" s="35"/>
      <c r="K283" s="23"/>
      <c r="L283" s="35"/>
      <c r="M283" s="23">
        <f t="shared" si="12"/>
        <v>0</v>
      </c>
      <c r="N283" s="23">
        <v>0</v>
      </c>
      <c r="O283" s="56">
        <f t="shared" si="13"/>
        <v>835</v>
      </c>
    </row>
    <row r="284" spans="7:15" ht="16" x14ac:dyDescent="0.35">
      <c r="G284" s="65"/>
      <c r="H284" s="25"/>
      <c r="I284" s="35"/>
      <c r="J284" s="35"/>
      <c r="K284" s="23"/>
      <c r="L284" s="35"/>
      <c r="M284" s="23">
        <f t="shared" si="12"/>
        <v>0</v>
      </c>
      <c r="N284" s="23">
        <v>0</v>
      </c>
      <c r="O284" s="56">
        <f t="shared" si="13"/>
        <v>835</v>
      </c>
    </row>
    <row r="285" spans="7:15" ht="16" x14ac:dyDescent="0.35">
      <c r="G285" s="65"/>
      <c r="H285" s="25"/>
      <c r="I285" s="35"/>
      <c r="J285" s="35"/>
      <c r="K285" s="23"/>
      <c r="L285" s="35"/>
      <c r="M285" s="23">
        <f t="shared" si="12"/>
        <v>0</v>
      </c>
      <c r="N285" s="23">
        <v>0</v>
      </c>
      <c r="O285" s="56">
        <f t="shared" si="13"/>
        <v>835</v>
      </c>
    </row>
    <row r="286" spans="7:15" ht="16" x14ac:dyDescent="0.35">
      <c r="G286" s="65"/>
      <c r="H286" s="25"/>
      <c r="I286" s="35"/>
      <c r="J286" s="35"/>
      <c r="K286" s="23"/>
      <c r="L286" s="35"/>
      <c r="M286" s="23">
        <f t="shared" si="12"/>
        <v>0</v>
      </c>
      <c r="N286" s="23">
        <v>0</v>
      </c>
      <c r="O286" s="56">
        <f t="shared" si="13"/>
        <v>835</v>
      </c>
    </row>
    <row r="287" spans="7:15" ht="16" x14ac:dyDescent="0.35">
      <c r="G287" s="65"/>
      <c r="H287" s="25"/>
      <c r="I287" s="35"/>
      <c r="J287" s="35"/>
      <c r="K287" s="23"/>
      <c r="L287" s="35"/>
      <c r="M287" s="23">
        <f t="shared" si="12"/>
        <v>0</v>
      </c>
      <c r="N287" s="23">
        <v>0</v>
      </c>
      <c r="O287" s="56">
        <f t="shared" si="13"/>
        <v>835</v>
      </c>
    </row>
    <row r="288" spans="7:15" ht="16" x14ac:dyDescent="0.35">
      <c r="G288" s="65"/>
      <c r="H288" s="25"/>
      <c r="I288" s="35"/>
      <c r="J288" s="35"/>
      <c r="K288" s="23"/>
      <c r="L288" s="35"/>
      <c r="M288" s="23">
        <f t="shared" si="12"/>
        <v>0</v>
      </c>
      <c r="N288" s="23">
        <v>0</v>
      </c>
      <c r="O288" s="56">
        <f t="shared" si="13"/>
        <v>835</v>
      </c>
    </row>
    <row r="289" spans="7:15" ht="16" x14ac:dyDescent="0.35">
      <c r="G289" s="65"/>
      <c r="H289" s="25"/>
      <c r="I289" s="35"/>
      <c r="J289" s="35"/>
      <c r="K289" s="23"/>
      <c r="L289" s="35"/>
      <c r="M289" s="23">
        <f t="shared" si="12"/>
        <v>0</v>
      </c>
      <c r="N289" s="23">
        <v>0</v>
      </c>
      <c r="O289" s="56">
        <f t="shared" si="13"/>
        <v>835</v>
      </c>
    </row>
    <row r="290" spans="7:15" ht="16" x14ac:dyDescent="0.35">
      <c r="G290" s="65"/>
      <c r="H290" s="25"/>
      <c r="I290" s="35"/>
      <c r="J290" s="35"/>
      <c r="K290" s="23"/>
      <c r="L290" s="35"/>
      <c r="M290" s="23">
        <f t="shared" si="12"/>
        <v>0</v>
      </c>
      <c r="N290" s="23">
        <v>0</v>
      </c>
      <c r="O290" s="56">
        <f t="shared" si="13"/>
        <v>835</v>
      </c>
    </row>
    <row r="291" spans="7:15" ht="16" x14ac:dyDescent="0.35">
      <c r="G291" s="65"/>
      <c r="H291" s="25"/>
      <c r="I291" s="35"/>
      <c r="J291" s="35"/>
      <c r="K291" s="23"/>
      <c r="L291" s="35"/>
      <c r="M291" s="23">
        <f t="shared" si="12"/>
        <v>0</v>
      </c>
      <c r="N291" s="23">
        <v>0</v>
      </c>
      <c r="O291" s="56">
        <f t="shared" si="13"/>
        <v>835</v>
      </c>
    </row>
    <row r="292" spans="7:15" ht="16" x14ac:dyDescent="0.35">
      <c r="G292" s="65"/>
      <c r="H292" s="25"/>
      <c r="I292" s="35"/>
      <c r="J292" s="35"/>
      <c r="K292" s="23"/>
      <c r="L292" s="35"/>
      <c r="M292" s="23">
        <f t="shared" si="12"/>
        <v>0</v>
      </c>
      <c r="N292" s="23">
        <v>0</v>
      </c>
      <c r="O292" s="56">
        <f t="shared" si="13"/>
        <v>835</v>
      </c>
    </row>
    <row r="293" spans="7:15" ht="16" x14ac:dyDescent="0.35">
      <c r="G293" s="65"/>
      <c r="H293" s="25"/>
      <c r="I293" s="35"/>
      <c r="J293" s="35"/>
      <c r="K293" s="23"/>
      <c r="L293" s="35"/>
      <c r="M293" s="23">
        <f t="shared" si="12"/>
        <v>0</v>
      </c>
      <c r="N293" s="23">
        <v>0</v>
      </c>
      <c r="O293" s="56">
        <f t="shared" si="13"/>
        <v>835</v>
      </c>
    </row>
    <row r="294" spans="7:15" ht="16" x14ac:dyDescent="0.35">
      <c r="G294" s="65"/>
      <c r="H294" s="25"/>
      <c r="I294" s="35"/>
      <c r="J294" s="35"/>
      <c r="K294" s="23"/>
      <c r="L294" s="35"/>
      <c r="M294" s="23">
        <f t="shared" si="12"/>
        <v>0</v>
      </c>
      <c r="N294" s="23">
        <v>0</v>
      </c>
      <c r="O294" s="56">
        <f t="shared" si="13"/>
        <v>835</v>
      </c>
    </row>
    <row r="295" spans="7:15" ht="16" x14ac:dyDescent="0.35">
      <c r="G295" s="65"/>
      <c r="H295" s="25"/>
      <c r="I295" s="35"/>
      <c r="J295" s="35"/>
      <c r="K295" s="23"/>
      <c r="L295" s="35"/>
      <c r="M295" s="23">
        <f t="shared" si="12"/>
        <v>0</v>
      </c>
      <c r="N295" s="23">
        <v>0</v>
      </c>
      <c r="O295" s="56">
        <f t="shared" si="13"/>
        <v>835</v>
      </c>
    </row>
    <row r="296" spans="7:15" ht="16" x14ac:dyDescent="0.35">
      <c r="G296" s="65"/>
      <c r="H296" s="25"/>
      <c r="I296" s="35"/>
      <c r="J296" s="35"/>
      <c r="K296" s="23"/>
      <c r="L296" s="35"/>
      <c r="M296" s="23">
        <f t="shared" si="12"/>
        <v>0</v>
      </c>
      <c r="N296" s="23">
        <v>0</v>
      </c>
      <c r="O296" s="56">
        <f t="shared" si="13"/>
        <v>835</v>
      </c>
    </row>
    <row r="297" spans="7:15" ht="16" x14ac:dyDescent="0.35">
      <c r="G297" s="65"/>
      <c r="H297" s="25"/>
      <c r="I297" s="35"/>
      <c r="J297" s="35"/>
      <c r="K297" s="23"/>
      <c r="L297" s="35"/>
      <c r="M297" s="23">
        <f t="shared" si="12"/>
        <v>0</v>
      </c>
      <c r="N297" s="23">
        <v>0</v>
      </c>
      <c r="O297" s="56">
        <f t="shared" si="13"/>
        <v>835</v>
      </c>
    </row>
    <row r="298" spans="7:15" ht="16" x14ac:dyDescent="0.35">
      <c r="G298" s="65"/>
      <c r="H298" s="25"/>
      <c r="I298" s="35"/>
      <c r="J298" s="35"/>
      <c r="K298" s="23"/>
      <c r="L298" s="35"/>
      <c r="M298" s="23">
        <f t="shared" si="12"/>
        <v>0</v>
      </c>
      <c r="N298" s="23">
        <v>0</v>
      </c>
      <c r="O298" s="56">
        <f t="shared" si="13"/>
        <v>835</v>
      </c>
    </row>
    <row r="299" spans="7:15" ht="16" x14ac:dyDescent="0.35">
      <c r="G299" s="65"/>
      <c r="H299" s="25"/>
      <c r="I299" s="35"/>
      <c r="J299" s="35"/>
      <c r="K299" s="23"/>
      <c r="L299" s="35"/>
      <c r="M299" s="23">
        <f t="shared" si="12"/>
        <v>0</v>
      </c>
      <c r="N299" s="23">
        <v>0</v>
      </c>
      <c r="O299" s="56">
        <f t="shared" si="13"/>
        <v>835</v>
      </c>
    </row>
    <row r="300" spans="7:15" ht="16" x14ac:dyDescent="0.35">
      <c r="G300" s="65"/>
      <c r="H300" s="25"/>
      <c r="I300" s="35"/>
      <c r="J300" s="35"/>
      <c r="K300" s="23"/>
      <c r="L300" s="35"/>
      <c r="M300" s="23">
        <f t="shared" si="12"/>
        <v>0</v>
      </c>
      <c r="N300" s="23">
        <v>0</v>
      </c>
      <c r="O300" s="56">
        <f t="shared" si="13"/>
        <v>835</v>
      </c>
    </row>
    <row r="301" spans="7:15" ht="16" x14ac:dyDescent="0.35">
      <c r="G301" s="65"/>
      <c r="H301" s="25"/>
      <c r="I301" s="35"/>
      <c r="J301" s="35"/>
      <c r="K301" s="23"/>
      <c r="L301" s="35"/>
      <c r="M301" s="23">
        <f t="shared" si="12"/>
        <v>0</v>
      </c>
      <c r="N301" s="23">
        <v>0</v>
      </c>
      <c r="O301" s="56">
        <f t="shared" si="13"/>
        <v>835</v>
      </c>
    </row>
    <row r="302" spans="7:15" ht="16" x14ac:dyDescent="0.35">
      <c r="G302" s="65"/>
      <c r="H302" s="25"/>
      <c r="I302" s="35"/>
      <c r="J302" s="35"/>
      <c r="K302" s="23"/>
      <c r="L302" s="35"/>
      <c r="M302" s="23">
        <f t="shared" si="12"/>
        <v>0</v>
      </c>
      <c r="N302" s="23">
        <v>0</v>
      </c>
      <c r="O302" s="56">
        <f t="shared" si="13"/>
        <v>835</v>
      </c>
    </row>
    <row r="303" spans="7:15" ht="16" x14ac:dyDescent="0.35">
      <c r="G303" s="65"/>
      <c r="H303" s="25"/>
      <c r="I303" s="35"/>
      <c r="J303" s="35"/>
      <c r="K303" s="23"/>
      <c r="L303" s="35"/>
      <c r="M303" s="23">
        <f t="shared" si="12"/>
        <v>0</v>
      </c>
      <c r="N303" s="23">
        <v>0</v>
      </c>
      <c r="O303" s="56">
        <f t="shared" si="13"/>
        <v>835</v>
      </c>
    </row>
    <row r="304" spans="7:15" ht="16" x14ac:dyDescent="0.35">
      <c r="G304" s="65"/>
      <c r="H304" s="25"/>
      <c r="I304" s="35"/>
      <c r="J304" s="35"/>
      <c r="K304" s="23"/>
      <c r="L304" s="35"/>
      <c r="M304" s="23">
        <f t="shared" si="12"/>
        <v>0</v>
      </c>
      <c r="N304" s="23">
        <v>0</v>
      </c>
      <c r="O304" s="56">
        <f t="shared" si="13"/>
        <v>835</v>
      </c>
    </row>
    <row r="305" spans="7:15" ht="16" x14ac:dyDescent="0.35">
      <c r="G305" s="65"/>
      <c r="H305" s="25"/>
      <c r="I305" s="35"/>
      <c r="J305" s="35"/>
      <c r="K305" s="23"/>
      <c r="L305" s="35"/>
      <c r="M305" s="23">
        <f t="shared" si="12"/>
        <v>0</v>
      </c>
      <c r="N305" s="23">
        <v>0</v>
      </c>
      <c r="O305" s="56">
        <f t="shared" si="13"/>
        <v>835</v>
      </c>
    </row>
    <row r="306" spans="7:15" ht="16" x14ac:dyDescent="0.35">
      <c r="G306" s="65"/>
      <c r="H306" s="25"/>
      <c r="I306" s="35"/>
      <c r="J306" s="35"/>
      <c r="K306" s="23"/>
      <c r="L306" s="35"/>
      <c r="M306" s="23">
        <f t="shared" si="12"/>
        <v>0</v>
      </c>
      <c r="N306" s="23">
        <v>0</v>
      </c>
      <c r="O306" s="56">
        <f t="shared" si="13"/>
        <v>835</v>
      </c>
    </row>
    <row r="307" spans="7:15" ht="16" x14ac:dyDescent="0.35">
      <c r="G307" s="65"/>
      <c r="H307" s="25"/>
      <c r="I307" s="35"/>
      <c r="J307" s="35"/>
      <c r="K307" s="23"/>
      <c r="L307" s="35"/>
      <c r="M307" s="23">
        <f t="shared" si="12"/>
        <v>0</v>
      </c>
      <c r="N307" s="23">
        <v>0</v>
      </c>
      <c r="O307" s="56">
        <f t="shared" si="13"/>
        <v>835</v>
      </c>
    </row>
    <row r="308" spans="7:15" ht="16" x14ac:dyDescent="0.35">
      <c r="G308" s="65"/>
      <c r="H308" s="25"/>
      <c r="I308" s="35"/>
      <c r="J308" s="35"/>
      <c r="K308" s="23"/>
      <c r="L308" s="35"/>
      <c r="M308" s="23">
        <f t="shared" si="12"/>
        <v>0</v>
      </c>
      <c r="N308" s="23">
        <v>0</v>
      </c>
      <c r="O308" s="56">
        <f t="shared" si="13"/>
        <v>835</v>
      </c>
    </row>
    <row r="309" spans="7:15" ht="16" x14ac:dyDescent="0.35">
      <c r="G309" s="65"/>
      <c r="H309" s="25"/>
      <c r="I309" s="35"/>
      <c r="J309" s="35"/>
      <c r="K309" s="23"/>
      <c r="L309" s="35"/>
      <c r="M309" s="23">
        <f t="shared" si="12"/>
        <v>0</v>
      </c>
      <c r="N309" s="23">
        <v>0</v>
      </c>
      <c r="O309" s="56">
        <f t="shared" si="13"/>
        <v>835</v>
      </c>
    </row>
    <row r="310" spans="7:15" ht="16" x14ac:dyDescent="0.35">
      <c r="G310" s="65"/>
      <c r="H310" s="25"/>
      <c r="I310" s="35"/>
      <c r="J310" s="35"/>
      <c r="K310" s="23"/>
      <c r="L310" s="35"/>
      <c r="M310" s="23">
        <f t="shared" si="12"/>
        <v>0</v>
      </c>
      <c r="N310" s="23">
        <v>0</v>
      </c>
      <c r="O310" s="56">
        <f t="shared" si="13"/>
        <v>835</v>
      </c>
    </row>
    <row r="311" spans="7:15" ht="16" x14ac:dyDescent="0.35">
      <c r="G311" s="65"/>
      <c r="H311" s="25"/>
      <c r="I311" s="35"/>
      <c r="J311" s="35"/>
      <c r="K311" s="23"/>
      <c r="L311" s="35"/>
      <c r="M311" s="23">
        <f t="shared" si="12"/>
        <v>0</v>
      </c>
      <c r="N311" s="23">
        <v>0</v>
      </c>
      <c r="O311" s="56">
        <f t="shared" si="13"/>
        <v>835</v>
      </c>
    </row>
    <row r="312" spans="7:15" ht="16" x14ac:dyDescent="0.35">
      <c r="G312" s="65"/>
      <c r="H312" s="25"/>
      <c r="I312" s="35"/>
      <c r="J312" s="35"/>
      <c r="K312" s="23"/>
      <c r="L312" s="35"/>
      <c r="M312" s="23">
        <f t="shared" si="12"/>
        <v>0</v>
      </c>
      <c r="N312" s="23">
        <v>0</v>
      </c>
      <c r="O312" s="56">
        <f t="shared" si="13"/>
        <v>835</v>
      </c>
    </row>
    <row r="313" spans="7:15" ht="16.5" thickBot="1" x14ac:dyDescent="0.4">
      <c r="G313" s="66"/>
      <c r="H313" s="37"/>
      <c r="I313" s="38"/>
      <c r="J313" s="38"/>
      <c r="K313" s="27"/>
      <c r="L313" s="38"/>
      <c r="M313" s="27">
        <f t="shared" si="12"/>
        <v>0</v>
      </c>
      <c r="N313" s="27">
        <v>0</v>
      </c>
      <c r="O313" s="60">
        <f t="shared" si="13"/>
        <v>835</v>
      </c>
    </row>
    <row r="314" spans="7:15" ht="16.5" thickBot="1" x14ac:dyDescent="0.4">
      <c r="H314" s="39"/>
      <c r="I314" s="39"/>
      <c r="J314" s="39"/>
      <c r="K314" s="39"/>
      <c r="L314" s="39"/>
      <c r="M314" s="30">
        <f>SUM(M258:M313)</f>
        <v>0</v>
      </c>
      <c r="N314" s="30">
        <f>SUM(N258:N313)</f>
        <v>0</v>
      </c>
      <c r="O314" s="42">
        <f>O313</f>
        <v>835</v>
      </c>
    </row>
    <row r="316" spans="7:15" ht="15" thickBot="1" x14ac:dyDescent="0.4"/>
    <row r="317" spans="7:15" ht="33" customHeight="1" thickBot="1" x14ac:dyDescent="0.4">
      <c r="H317" s="61" t="s">
        <v>53</v>
      </c>
      <c r="I317" s="62"/>
      <c r="J317" s="62"/>
      <c r="K317" s="62"/>
      <c r="L317" s="62"/>
      <c r="M317" s="62"/>
      <c r="N317" s="62"/>
      <c r="O317" s="63"/>
    </row>
    <row r="318" spans="7:15" ht="28.5" customHeight="1" x14ac:dyDescent="0.35">
      <c r="G318" s="70" t="s">
        <v>54</v>
      </c>
      <c r="H318" s="57" t="s">
        <v>11</v>
      </c>
      <c r="I318" s="58" t="s">
        <v>12</v>
      </c>
      <c r="J318" s="58" t="s">
        <v>33</v>
      </c>
      <c r="K318" s="58" t="s">
        <v>34</v>
      </c>
      <c r="L318" s="58" t="s">
        <v>43</v>
      </c>
      <c r="M318" s="58" t="s">
        <v>2</v>
      </c>
      <c r="N318" s="58" t="s">
        <v>1</v>
      </c>
      <c r="O318" s="59" t="s">
        <v>9</v>
      </c>
    </row>
    <row r="319" spans="7:15" ht="16" x14ac:dyDescent="0.35">
      <c r="G319" s="65"/>
      <c r="H319" s="54"/>
      <c r="I319" s="55"/>
      <c r="J319" s="55"/>
      <c r="K319" s="15"/>
      <c r="L319" s="55"/>
      <c r="M319" s="15">
        <f>K319*I319</f>
        <v>0</v>
      </c>
      <c r="N319" s="15">
        <v>0</v>
      </c>
      <c r="O319" s="56">
        <f>O314+M319-N319</f>
        <v>835</v>
      </c>
    </row>
    <row r="320" spans="7:15" ht="16" x14ac:dyDescent="0.35">
      <c r="G320" s="65"/>
      <c r="H320" s="54"/>
      <c r="I320" s="35"/>
      <c r="J320" s="35"/>
      <c r="K320" s="23"/>
      <c r="L320" s="35"/>
      <c r="M320" s="23">
        <f t="shared" ref="M320:M374" si="14">K320*I320</f>
        <v>0</v>
      </c>
      <c r="N320" s="23">
        <v>0</v>
      </c>
      <c r="O320" s="56">
        <f>O319+M320-N320</f>
        <v>835</v>
      </c>
    </row>
    <row r="321" spans="7:18" ht="16" x14ac:dyDescent="0.35">
      <c r="G321" s="65"/>
      <c r="H321" s="54"/>
      <c r="I321" s="35"/>
      <c r="J321" s="35"/>
      <c r="K321" s="23"/>
      <c r="L321" s="35"/>
      <c r="M321" s="23">
        <f t="shared" si="14"/>
        <v>0</v>
      </c>
      <c r="N321" s="23">
        <v>0</v>
      </c>
      <c r="O321" s="56">
        <f t="shared" ref="O321:O374" si="15">O320+M321-N321</f>
        <v>835</v>
      </c>
    </row>
    <row r="322" spans="7:18" ht="16" x14ac:dyDescent="0.35">
      <c r="G322" s="65"/>
      <c r="H322" s="54"/>
      <c r="I322" s="35"/>
      <c r="J322" s="35"/>
      <c r="K322" s="23"/>
      <c r="L322" s="35"/>
      <c r="M322" s="23">
        <f t="shared" si="14"/>
        <v>0</v>
      </c>
      <c r="N322" s="23">
        <v>0</v>
      </c>
      <c r="O322" s="56">
        <f t="shared" si="15"/>
        <v>835</v>
      </c>
    </row>
    <row r="323" spans="7:18" ht="16.5" thickBot="1" x14ac:dyDescent="0.4">
      <c r="G323" s="65"/>
      <c r="H323" s="54"/>
      <c r="I323" s="35"/>
      <c r="J323" s="35"/>
      <c r="K323" s="23"/>
      <c r="L323" s="35"/>
      <c r="M323" s="23">
        <f t="shared" si="14"/>
        <v>0</v>
      </c>
      <c r="N323" s="23">
        <v>0</v>
      </c>
      <c r="O323" s="56">
        <f t="shared" si="15"/>
        <v>835</v>
      </c>
    </row>
    <row r="324" spans="7:18" ht="16.5" thickBot="1" x14ac:dyDescent="0.4">
      <c r="G324" s="65"/>
      <c r="H324" s="54"/>
      <c r="I324" s="35"/>
      <c r="J324" s="35"/>
      <c r="K324" s="23"/>
      <c r="L324" s="35"/>
      <c r="M324" s="23">
        <f t="shared" si="14"/>
        <v>0</v>
      </c>
      <c r="N324" s="23">
        <v>0</v>
      </c>
      <c r="O324" s="56">
        <f t="shared" si="15"/>
        <v>835</v>
      </c>
      <c r="Q324" s="80" t="s">
        <v>70</v>
      </c>
      <c r="R324" s="81"/>
    </row>
    <row r="325" spans="7:18" ht="16" x14ac:dyDescent="0.35">
      <c r="G325" s="65"/>
      <c r="H325" s="54"/>
      <c r="I325" s="35"/>
      <c r="J325" s="35"/>
      <c r="K325" s="23"/>
      <c r="L325" s="35"/>
      <c r="M325" s="23">
        <f t="shared" si="14"/>
        <v>0</v>
      </c>
      <c r="N325" s="23">
        <v>0</v>
      </c>
      <c r="O325" s="56">
        <f t="shared" si="15"/>
        <v>835</v>
      </c>
      <c r="Q325" s="72" t="s">
        <v>25</v>
      </c>
      <c r="R325" s="73"/>
    </row>
    <row r="326" spans="7:18" ht="16" x14ac:dyDescent="0.35">
      <c r="G326" s="65"/>
      <c r="H326" s="54"/>
      <c r="I326" s="35"/>
      <c r="J326" s="35"/>
      <c r="K326" s="23"/>
      <c r="L326" s="35"/>
      <c r="M326" s="23">
        <f t="shared" si="14"/>
        <v>0</v>
      </c>
      <c r="N326" s="23">
        <v>0</v>
      </c>
      <c r="O326" s="56">
        <f t="shared" si="15"/>
        <v>835</v>
      </c>
      <c r="Q326" s="74" t="s">
        <v>36</v>
      </c>
      <c r="R326" s="75"/>
    </row>
    <row r="327" spans="7:18" ht="16" x14ac:dyDescent="0.35">
      <c r="G327" s="65"/>
      <c r="H327" s="44"/>
      <c r="I327" s="35"/>
      <c r="J327" s="35"/>
      <c r="K327" s="23"/>
      <c r="L327" s="35"/>
      <c r="M327" s="23">
        <f t="shared" si="14"/>
        <v>0</v>
      </c>
      <c r="N327" s="23">
        <v>0</v>
      </c>
      <c r="O327" s="56">
        <f t="shared" si="15"/>
        <v>835</v>
      </c>
      <c r="Q327" s="74" t="s">
        <v>37</v>
      </c>
      <c r="R327" s="75"/>
    </row>
    <row r="328" spans="7:18" ht="16.5" thickBot="1" x14ac:dyDescent="0.4">
      <c r="G328" s="65"/>
      <c r="H328" s="44"/>
      <c r="I328" s="35"/>
      <c r="J328" s="35"/>
      <c r="K328" s="23"/>
      <c r="L328" s="35"/>
      <c r="M328" s="23">
        <f t="shared" si="14"/>
        <v>0</v>
      </c>
      <c r="N328" s="23">
        <v>0</v>
      </c>
      <c r="O328" s="56">
        <f t="shared" si="15"/>
        <v>835</v>
      </c>
      <c r="Q328" s="76" t="s">
        <v>26</v>
      </c>
      <c r="R328" s="77"/>
    </row>
    <row r="329" spans="7:18" ht="16.5" thickBot="1" x14ac:dyDescent="0.4">
      <c r="G329" s="65"/>
      <c r="H329" s="44"/>
      <c r="I329" s="35"/>
      <c r="J329" s="35"/>
      <c r="K329" s="23"/>
      <c r="L329" s="35"/>
      <c r="M329" s="23">
        <f t="shared" si="14"/>
        <v>0</v>
      </c>
      <c r="N329" s="23">
        <v>0</v>
      </c>
      <c r="O329" s="56">
        <f t="shared" si="15"/>
        <v>835</v>
      </c>
      <c r="Q329" s="78" t="s">
        <v>63</v>
      </c>
      <c r="R329" s="79">
        <f>SUM(R325:R328)</f>
        <v>0</v>
      </c>
    </row>
    <row r="330" spans="7:18" ht="16" x14ac:dyDescent="0.35">
      <c r="G330" s="65"/>
      <c r="H330" s="44"/>
      <c r="I330" s="35"/>
      <c r="J330" s="35"/>
      <c r="K330" s="23"/>
      <c r="L330" s="35"/>
      <c r="M330" s="23">
        <f t="shared" si="14"/>
        <v>0</v>
      </c>
      <c r="N330" s="23">
        <v>0</v>
      </c>
      <c r="O330" s="56">
        <f t="shared" si="15"/>
        <v>835</v>
      </c>
    </row>
    <row r="331" spans="7:18" ht="16" x14ac:dyDescent="0.35">
      <c r="G331" s="65"/>
      <c r="H331" s="44"/>
      <c r="I331" s="35"/>
      <c r="J331" s="35"/>
      <c r="K331" s="23"/>
      <c r="L331" s="35"/>
      <c r="M331" s="23">
        <f t="shared" si="14"/>
        <v>0</v>
      </c>
      <c r="N331" s="23">
        <v>0</v>
      </c>
      <c r="O331" s="56">
        <f t="shared" si="15"/>
        <v>835</v>
      </c>
    </row>
    <row r="332" spans="7:18" ht="16" x14ac:dyDescent="0.35">
      <c r="G332" s="65"/>
      <c r="H332" s="44"/>
      <c r="I332" s="35"/>
      <c r="J332" s="35"/>
      <c r="K332" s="23"/>
      <c r="L332" s="35"/>
      <c r="M332" s="23">
        <f t="shared" si="14"/>
        <v>0</v>
      </c>
      <c r="N332" s="23">
        <v>0</v>
      </c>
      <c r="O332" s="56">
        <f t="shared" si="15"/>
        <v>835</v>
      </c>
    </row>
    <row r="333" spans="7:18" ht="16" x14ac:dyDescent="0.35">
      <c r="G333" s="65"/>
      <c r="H333" s="44"/>
      <c r="I333" s="35"/>
      <c r="J333" s="35"/>
      <c r="K333" s="23"/>
      <c r="L333" s="35"/>
      <c r="M333" s="23">
        <f t="shared" si="14"/>
        <v>0</v>
      </c>
      <c r="N333" s="23">
        <v>0</v>
      </c>
      <c r="O333" s="56">
        <f t="shared" si="15"/>
        <v>835</v>
      </c>
    </row>
    <row r="334" spans="7:18" ht="16" x14ac:dyDescent="0.35">
      <c r="G334" s="65"/>
      <c r="H334" s="44"/>
      <c r="I334" s="35"/>
      <c r="J334" s="35"/>
      <c r="K334" s="23"/>
      <c r="L334" s="35"/>
      <c r="M334" s="23">
        <f t="shared" si="14"/>
        <v>0</v>
      </c>
      <c r="N334" s="23">
        <v>0</v>
      </c>
      <c r="O334" s="56">
        <f t="shared" si="15"/>
        <v>835</v>
      </c>
    </row>
    <row r="335" spans="7:18" ht="16" x14ac:dyDescent="0.35">
      <c r="G335" s="65"/>
      <c r="H335" s="44"/>
      <c r="I335" s="35"/>
      <c r="J335" s="35"/>
      <c r="K335" s="23"/>
      <c r="L335" s="35"/>
      <c r="M335" s="23">
        <f t="shared" si="14"/>
        <v>0</v>
      </c>
      <c r="N335" s="23">
        <v>0</v>
      </c>
      <c r="O335" s="56">
        <f t="shared" si="15"/>
        <v>835</v>
      </c>
    </row>
    <row r="336" spans="7:18" ht="16" x14ac:dyDescent="0.35">
      <c r="G336" s="65"/>
      <c r="H336" s="25"/>
      <c r="I336" s="35"/>
      <c r="J336" s="35"/>
      <c r="K336" s="23"/>
      <c r="L336" s="35"/>
      <c r="M336" s="23">
        <f t="shared" si="14"/>
        <v>0</v>
      </c>
      <c r="N336" s="23">
        <v>0</v>
      </c>
      <c r="O336" s="56">
        <f t="shared" si="15"/>
        <v>835</v>
      </c>
    </row>
    <row r="337" spans="7:15" ht="16" x14ac:dyDescent="0.35">
      <c r="G337" s="65"/>
      <c r="H337" s="25"/>
      <c r="I337" s="35"/>
      <c r="J337" s="35"/>
      <c r="K337" s="23"/>
      <c r="L337" s="35"/>
      <c r="M337" s="23">
        <f t="shared" si="14"/>
        <v>0</v>
      </c>
      <c r="N337" s="23">
        <v>0</v>
      </c>
      <c r="O337" s="56">
        <f t="shared" si="15"/>
        <v>835</v>
      </c>
    </row>
    <row r="338" spans="7:15" ht="16" x14ac:dyDescent="0.35">
      <c r="G338" s="65"/>
      <c r="H338" s="25"/>
      <c r="I338" s="35"/>
      <c r="J338" s="35"/>
      <c r="K338" s="23"/>
      <c r="L338" s="35"/>
      <c r="M338" s="23">
        <f t="shared" si="14"/>
        <v>0</v>
      </c>
      <c r="N338" s="23">
        <v>0</v>
      </c>
      <c r="O338" s="56">
        <f t="shared" si="15"/>
        <v>835</v>
      </c>
    </row>
    <row r="339" spans="7:15" ht="16" x14ac:dyDescent="0.35">
      <c r="G339" s="65"/>
      <c r="H339" s="25"/>
      <c r="I339" s="35"/>
      <c r="J339" s="35"/>
      <c r="K339" s="23"/>
      <c r="L339" s="35"/>
      <c r="M339" s="23">
        <f t="shared" si="14"/>
        <v>0</v>
      </c>
      <c r="N339" s="23">
        <v>0</v>
      </c>
      <c r="O339" s="56">
        <f t="shared" si="15"/>
        <v>835</v>
      </c>
    </row>
    <row r="340" spans="7:15" ht="16" x14ac:dyDescent="0.35">
      <c r="G340" s="65"/>
      <c r="H340" s="25"/>
      <c r="I340" s="35"/>
      <c r="J340" s="35"/>
      <c r="K340" s="23"/>
      <c r="L340" s="35"/>
      <c r="M340" s="23">
        <f t="shared" si="14"/>
        <v>0</v>
      </c>
      <c r="N340" s="23">
        <v>0</v>
      </c>
      <c r="O340" s="56">
        <f t="shared" si="15"/>
        <v>835</v>
      </c>
    </row>
    <row r="341" spans="7:15" ht="16" x14ac:dyDescent="0.35">
      <c r="G341" s="65"/>
      <c r="H341" s="25"/>
      <c r="I341" s="35"/>
      <c r="J341" s="35"/>
      <c r="K341" s="23"/>
      <c r="L341" s="35"/>
      <c r="M341" s="23">
        <f t="shared" si="14"/>
        <v>0</v>
      </c>
      <c r="N341" s="23">
        <v>0</v>
      </c>
      <c r="O341" s="56">
        <f t="shared" si="15"/>
        <v>835</v>
      </c>
    </row>
    <row r="342" spans="7:15" ht="16" x14ac:dyDescent="0.35">
      <c r="G342" s="65"/>
      <c r="H342" s="25"/>
      <c r="I342" s="35"/>
      <c r="J342" s="35"/>
      <c r="K342" s="23"/>
      <c r="L342" s="35"/>
      <c r="M342" s="23">
        <f t="shared" si="14"/>
        <v>0</v>
      </c>
      <c r="N342" s="23">
        <v>0</v>
      </c>
      <c r="O342" s="56">
        <f t="shared" si="15"/>
        <v>835</v>
      </c>
    </row>
    <row r="343" spans="7:15" ht="16" x14ac:dyDescent="0.35">
      <c r="G343" s="65"/>
      <c r="H343" s="25"/>
      <c r="I343" s="35"/>
      <c r="J343" s="35"/>
      <c r="K343" s="23"/>
      <c r="L343" s="35"/>
      <c r="M343" s="23">
        <f t="shared" si="14"/>
        <v>0</v>
      </c>
      <c r="N343" s="23">
        <v>0</v>
      </c>
      <c r="O343" s="56">
        <f t="shared" si="15"/>
        <v>835</v>
      </c>
    </row>
    <row r="344" spans="7:15" ht="16" x14ac:dyDescent="0.35">
      <c r="G344" s="65"/>
      <c r="H344" s="25"/>
      <c r="I344" s="35"/>
      <c r="J344" s="35"/>
      <c r="K344" s="23"/>
      <c r="L344" s="35"/>
      <c r="M344" s="23">
        <f t="shared" si="14"/>
        <v>0</v>
      </c>
      <c r="N344" s="23">
        <v>0</v>
      </c>
      <c r="O344" s="56">
        <f t="shared" si="15"/>
        <v>835</v>
      </c>
    </row>
    <row r="345" spans="7:15" ht="16" x14ac:dyDescent="0.35">
      <c r="G345" s="65"/>
      <c r="H345" s="25"/>
      <c r="I345" s="35"/>
      <c r="J345" s="35"/>
      <c r="K345" s="23"/>
      <c r="L345" s="35"/>
      <c r="M345" s="23">
        <f t="shared" si="14"/>
        <v>0</v>
      </c>
      <c r="N345" s="23">
        <v>0</v>
      </c>
      <c r="O345" s="56">
        <f t="shared" si="15"/>
        <v>835</v>
      </c>
    </row>
    <row r="346" spans="7:15" ht="16" x14ac:dyDescent="0.35">
      <c r="G346" s="65"/>
      <c r="H346" s="25"/>
      <c r="I346" s="35"/>
      <c r="J346" s="35"/>
      <c r="K346" s="23"/>
      <c r="L346" s="35"/>
      <c r="M346" s="23">
        <f t="shared" si="14"/>
        <v>0</v>
      </c>
      <c r="N346" s="23">
        <v>0</v>
      </c>
      <c r="O346" s="56">
        <f t="shared" si="15"/>
        <v>835</v>
      </c>
    </row>
    <row r="347" spans="7:15" ht="16" x14ac:dyDescent="0.35">
      <c r="G347" s="65"/>
      <c r="H347" s="25"/>
      <c r="I347" s="35"/>
      <c r="J347" s="35"/>
      <c r="K347" s="23"/>
      <c r="L347" s="35"/>
      <c r="M347" s="23">
        <f t="shared" si="14"/>
        <v>0</v>
      </c>
      <c r="N347" s="23">
        <v>0</v>
      </c>
      <c r="O347" s="56">
        <f t="shared" si="15"/>
        <v>835</v>
      </c>
    </row>
    <row r="348" spans="7:15" ht="16" x14ac:dyDescent="0.35">
      <c r="G348" s="65"/>
      <c r="H348" s="25"/>
      <c r="I348" s="35"/>
      <c r="J348" s="35"/>
      <c r="K348" s="23"/>
      <c r="L348" s="35"/>
      <c r="M348" s="23">
        <f t="shared" si="14"/>
        <v>0</v>
      </c>
      <c r="N348" s="23">
        <v>0</v>
      </c>
      <c r="O348" s="56">
        <f t="shared" si="15"/>
        <v>835</v>
      </c>
    </row>
    <row r="349" spans="7:15" ht="16" x14ac:dyDescent="0.35">
      <c r="G349" s="65"/>
      <c r="H349" s="25"/>
      <c r="I349" s="35"/>
      <c r="J349" s="35"/>
      <c r="K349" s="23"/>
      <c r="L349" s="35"/>
      <c r="M349" s="23">
        <f t="shared" si="14"/>
        <v>0</v>
      </c>
      <c r="N349" s="23">
        <v>0</v>
      </c>
      <c r="O349" s="56">
        <f t="shared" si="15"/>
        <v>835</v>
      </c>
    </row>
    <row r="350" spans="7:15" ht="16" x14ac:dyDescent="0.35">
      <c r="G350" s="65"/>
      <c r="H350" s="25"/>
      <c r="I350" s="35"/>
      <c r="J350" s="35"/>
      <c r="K350" s="23"/>
      <c r="L350" s="35"/>
      <c r="M350" s="23">
        <f t="shared" si="14"/>
        <v>0</v>
      </c>
      <c r="N350" s="23">
        <v>0</v>
      </c>
      <c r="O350" s="56">
        <f t="shared" si="15"/>
        <v>835</v>
      </c>
    </row>
    <row r="351" spans="7:15" ht="16" x14ac:dyDescent="0.35">
      <c r="G351" s="65"/>
      <c r="H351" s="25"/>
      <c r="I351" s="35"/>
      <c r="J351" s="35"/>
      <c r="K351" s="23"/>
      <c r="L351" s="35"/>
      <c r="M351" s="23">
        <f t="shared" si="14"/>
        <v>0</v>
      </c>
      <c r="N351" s="23">
        <v>0</v>
      </c>
      <c r="O351" s="56">
        <f t="shared" si="15"/>
        <v>835</v>
      </c>
    </row>
    <row r="352" spans="7:15" ht="16" x14ac:dyDescent="0.35">
      <c r="G352" s="65"/>
      <c r="H352" s="25"/>
      <c r="I352" s="35"/>
      <c r="J352" s="35"/>
      <c r="K352" s="23"/>
      <c r="L352" s="35"/>
      <c r="M352" s="23">
        <f t="shared" si="14"/>
        <v>0</v>
      </c>
      <c r="N352" s="23">
        <v>0</v>
      </c>
      <c r="O352" s="56">
        <f t="shared" si="15"/>
        <v>835</v>
      </c>
    </row>
    <row r="353" spans="7:15" ht="16" x14ac:dyDescent="0.35">
      <c r="G353" s="65"/>
      <c r="H353" s="25"/>
      <c r="I353" s="35"/>
      <c r="J353" s="35"/>
      <c r="K353" s="23"/>
      <c r="L353" s="35"/>
      <c r="M353" s="23">
        <f t="shared" si="14"/>
        <v>0</v>
      </c>
      <c r="N353" s="23">
        <v>0</v>
      </c>
      <c r="O353" s="56">
        <f t="shared" si="15"/>
        <v>835</v>
      </c>
    </row>
    <row r="354" spans="7:15" ht="16" x14ac:dyDescent="0.35">
      <c r="G354" s="65"/>
      <c r="H354" s="25"/>
      <c r="I354" s="35"/>
      <c r="J354" s="35"/>
      <c r="K354" s="23"/>
      <c r="L354" s="35"/>
      <c r="M354" s="23">
        <f t="shared" si="14"/>
        <v>0</v>
      </c>
      <c r="N354" s="23">
        <v>0</v>
      </c>
      <c r="O354" s="56">
        <f t="shared" si="15"/>
        <v>835</v>
      </c>
    </row>
    <row r="355" spans="7:15" ht="16" x14ac:dyDescent="0.35">
      <c r="G355" s="65"/>
      <c r="H355" s="25"/>
      <c r="I355" s="35"/>
      <c r="J355" s="35"/>
      <c r="K355" s="23"/>
      <c r="L355" s="35"/>
      <c r="M355" s="23">
        <f t="shared" si="14"/>
        <v>0</v>
      </c>
      <c r="N355" s="23">
        <v>0</v>
      </c>
      <c r="O355" s="56">
        <f t="shared" si="15"/>
        <v>835</v>
      </c>
    </row>
    <row r="356" spans="7:15" ht="16" x14ac:dyDescent="0.35">
      <c r="G356" s="65"/>
      <c r="H356" s="25"/>
      <c r="I356" s="35"/>
      <c r="J356" s="35"/>
      <c r="K356" s="23"/>
      <c r="L356" s="35"/>
      <c r="M356" s="23">
        <f t="shared" si="14"/>
        <v>0</v>
      </c>
      <c r="N356" s="23">
        <v>0</v>
      </c>
      <c r="O356" s="56">
        <f t="shared" si="15"/>
        <v>835</v>
      </c>
    </row>
    <row r="357" spans="7:15" ht="16" x14ac:dyDescent="0.35">
      <c r="G357" s="65"/>
      <c r="H357" s="25"/>
      <c r="I357" s="35"/>
      <c r="J357" s="35"/>
      <c r="K357" s="23"/>
      <c r="L357" s="35"/>
      <c r="M357" s="23">
        <f t="shared" si="14"/>
        <v>0</v>
      </c>
      <c r="N357" s="23">
        <v>0</v>
      </c>
      <c r="O357" s="56">
        <f t="shared" si="15"/>
        <v>835</v>
      </c>
    </row>
    <row r="358" spans="7:15" ht="16" x14ac:dyDescent="0.35">
      <c r="G358" s="65"/>
      <c r="H358" s="25"/>
      <c r="I358" s="35"/>
      <c r="J358" s="35"/>
      <c r="K358" s="23"/>
      <c r="L358" s="35"/>
      <c r="M358" s="23">
        <f t="shared" si="14"/>
        <v>0</v>
      </c>
      <c r="N358" s="23">
        <v>0</v>
      </c>
      <c r="O358" s="56">
        <f t="shared" si="15"/>
        <v>835</v>
      </c>
    </row>
    <row r="359" spans="7:15" ht="16" x14ac:dyDescent="0.35">
      <c r="G359" s="65"/>
      <c r="H359" s="25"/>
      <c r="I359" s="35"/>
      <c r="J359" s="35"/>
      <c r="K359" s="23"/>
      <c r="L359" s="35"/>
      <c r="M359" s="23">
        <f t="shared" si="14"/>
        <v>0</v>
      </c>
      <c r="N359" s="23">
        <v>0</v>
      </c>
      <c r="O359" s="56">
        <f t="shared" si="15"/>
        <v>835</v>
      </c>
    </row>
    <row r="360" spans="7:15" ht="16" x14ac:dyDescent="0.35">
      <c r="G360" s="65"/>
      <c r="H360" s="25"/>
      <c r="I360" s="35"/>
      <c r="J360" s="35"/>
      <c r="K360" s="23"/>
      <c r="L360" s="35"/>
      <c r="M360" s="23">
        <f t="shared" si="14"/>
        <v>0</v>
      </c>
      <c r="N360" s="23">
        <v>0</v>
      </c>
      <c r="O360" s="56">
        <f t="shared" si="15"/>
        <v>835</v>
      </c>
    </row>
    <row r="361" spans="7:15" ht="16" x14ac:dyDescent="0.35">
      <c r="G361" s="65"/>
      <c r="H361" s="25"/>
      <c r="I361" s="35"/>
      <c r="J361" s="35"/>
      <c r="K361" s="23"/>
      <c r="L361" s="35"/>
      <c r="M361" s="23">
        <f t="shared" si="14"/>
        <v>0</v>
      </c>
      <c r="N361" s="23">
        <v>0</v>
      </c>
      <c r="O361" s="56">
        <f t="shared" si="15"/>
        <v>835</v>
      </c>
    </row>
    <row r="362" spans="7:15" ht="16" x14ac:dyDescent="0.35">
      <c r="G362" s="65"/>
      <c r="H362" s="25"/>
      <c r="I362" s="35"/>
      <c r="J362" s="35"/>
      <c r="K362" s="23"/>
      <c r="L362" s="35"/>
      <c r="M362" s="23">
        <f t="shared" si="14"/>
        <v>0</v>
      </c>
      <c r="N362" s="23">
        <v>0</v>
      </c>
      <c r="O362" s="56">
        <f t="shared" si="15"/>
        <v>835</v>
      </c>
    </row>
    <row r="363" spans="7:15" ht="16" x14ac:dyDescent="0.35">
      <c r="G363" s="65"/>
      <c r="H363" s="25"/>
      <c r="I363" s="35"/>
      <c r="J363" s="35"/>
      <c r="K363" s="23"/>
      <c r="L363" s="35"/>
      <c r="M363" s="23">
        <f t="shared" si="14"/>
        <v>0</v>
      </c>
      <c r="N363" s="23">
        <v>0</v>
      </c>
      <c r="O363" s="56">
        <f t="shared" si="15"/>
        <v>835</v>
      </c>
    </row>
    <row r="364" spans="7:15" ht="16" x14ac:dyDescent="0.35">
      <c r="G364" s="65"/>
      <c r="H364" s="25"/>
      <c r="I364" s="35"/>
      <c r="J364" s="35"/>
      <c r="K364" s="23"/>
      <c r="L364" s="35"/>
      <c r="M364" s="23">
        <f t="shared" si="14"/>
        <v>0</v>
      </c>
      <c r="N364" s="23">
        <v>0</v>
      </c>
      <c r="O364" s="56">
        <f t="shared" si="15"/>
        <v>835</v>
      </c>
    </row>
    <row r="365" spans="7:15" ht="16" x14ac:dyDescent="0.35">
      <c r="G365" s="65"/>
      <c r="H365" s="25"/>
      <c r="I365" s="35"/>
      <c r="J365" s="35"/>
      <c r="K365" s="23"/>
      <c r="L365" s="35"/>
      <c r="M365" s="23">
        <f t="shared" si="14"/>
        <v>0</v>
      </c>
      <c r="N365" s="23">
        <v>0</v>
      </c>
      <c r="O365" s="56">
        <f t="shared" si="15"/>
        <v>835</v>
      </c>
    </row>
    <row r="366" spans="7:15" ht="16" x14ac:dyDescent="0.35">
      <c r="G366" s="65"/>
      <c r="H366" s="25"/>
      <c r="I366" s="35"/>
      <c r="J366" s="35"/>
      <c r="K366" s="23"/>
      <c r="L366" s="35"/>
      <c r="M366" s="23">
        <f t="shared" si="14"/>
        <v>0</v>
      </c>
      <c r="N366" s="23">
        <v>0</v>
      </c>
      <c r="O366" s="56">
        <f t="shared" si="15"/>
        <v>835</v>
      </c>
    </row>
    <row r="367" spans="7:15" ht="16" x14ac:dyDescent="0.35">
      <c r="G367" s="65"/>
      <c r="H367" s="25"/>
      <c r="I367" s="35"/>
      <c r="J367" s="35"/>
      <c r="K367" s="23"/>
      <c r="L367" s="35"/>
      <c r="M367" s="23">
        <f t="shared" si="14"/>
        <v>0</v>
      </c>
      <c r="N367" s="23">
        <v>0</v>
      </c>
      <c r="O367" s="56">
        <f t="shared" si="15"/>
        <v>835</v>
      </c>
    </row>
    <row r="368" spans="7:15" ht="16" x14ac:dyDescent="0.35">
      <c r="G368" s="65"/>
      <c r="H368" s="25"/>
      <c r="I368" s="35"/>
      <c r="J368" s="35"/>
      <c r="K368" s="23"/>
      <c r="L368" s="35"/>
      <c r="M368" s="23">
        <f t="shared" si="14"/>
        <v>0</v>
      </c>
      <c r="N368" s="23">
        <v>0</v>
      </c>
      <c r="O368" s="56">
        <f t="shared" si="15"/>
        <v>835</v>
      </c>
    </row>
    <row r="369" spans="7:18" ht="16" x14ac:dyDescent="0.35">
      <c r="G369" s="65"/>
      <c r="H369" s="25"/>
      <c r="I369" s="35"/>
      <c r="J369" s="35"/>
      <c r="K369" s="23"/>
      <c r="L369" s="35"/>
      <c r="M369" s="23">
        <f t="shared" si="14"/>
        <v>0</v>
      </c>
      <c r="N369" s="23">
        <v>0</v>
      </c>
      <c r="O369" s="56">
        <f t="shared" si="15"/>
        <v>835</v>
      </c>
    </row>
    <row r="370" spans="7:18" ht="16" x14ac:dyDescent="0.35">
      <c r="G370" s="65"/>
      <c r="H370" s="25"/>
      <c r="I370" s="35"/>
      <c r="J370" s="35"/>
      <c r="K370" s="23"/>
      <c r="L370" s="35"/>
      <c r="M370" s="23">
        <f t="shared" si="14"/>
        <v>0</v>
      </c>
      <c r="N370" s="23">
        <v>0</v>
      </c>
      <c r="O370" s="56">
        <f t="shared" si="15"/>
        <v>835</v>
      </c>
    </row>
    <row r="371" spans="7:18" ht="16" x14ac:dyDescent="0.35">
      <c r="G371" s="65"/>
      <c r="H371" s="25"/>
      <c r="I371" s="35"/>
      <c r="J371" s="35"/>
      <c r="K371" s="23"/>
      <c r="L371" s="35"/>
      <c r="M371" s="23">
        <f t="shared" si="14"/>
        <v>0</v>
      </c>
      <c r="N371" s="23">
        <v>0</v>
      </c>
      <c r="O371" s="56">
        <f t="shared" si="15"/>
        <v>835</v>
      </c>
    </row>
    <row r="372" spans="7:18" ht="16" x14ac:dyDescent="0.35">
      <c r="G372" s="65"/>
      <c r="H372" s="25"/>
      <c r="I372" s="35"/>
      <c r="J372" s="35"/>
      <c r="K372" s="23"/>
      <c r="L372" s="35"/>
      <c r="M372" s="23">
        <f t="shared" si="14"/>
        <v>0</v>
      </c>
      <c r="N372" s="23">
        <v>0</v>
      </c>
      <c r="O372" s="56">
        <f t="shared" si="15"/>
        <v>835</v>
      </c>
    </row>
    <row r="373" spans="7:18" ht="16" x14ac:dyDescent="0.35">
      <c r="G373" s="65"/>
      <c r="H373" s="25"/>
      <c r="I373" s="35"/>
      <c r="J373" s="35"/>
      <c r="K373" s="23"/>
      <c r="L373" s="35"/>
      <c r="M373" s="23">
        <f t="shared" si="14"/>
        <v>0</v>
      </c>
      <c r="N373" s="23">
        <v>0</v>
      </c>
      <c r="O373" s="56">
        <f t="shared" si="15"/>
        <v>835</v>
      </c>
    </row>
    <row r="374" spans="7:18" ht="16.5" thickBot="1" x14ac:dyDescent="0.4">
      <c r="G374" s="66"/>
      <c r="H374" s="37"/>
      <c r="I374" s="38"/>
      <c r="J374" s="38"/>
      <c r="K374" s="27"/>
      <c r="L374" s="38"/>
      <c r="M374" s="27">
        <f t="shared" si="14"/>
        <v>0</v>
      </c>
      <c r="N374" s="27">
        <v>0</v>
      </c>
      <c r="O374" s="60">
        <f t="shared" si="15"/>
        <v>835</v>
      </c>
    </row>
    <row r="375" spans="7:18" ht="16.5" thickBot="1" x14ac:dyDescent="0.4">
      <c r="H375" s="39"/>
      <c r="I375" s="39"/>
      <c r="J375" s="39"/>
      <c r="K375" s="39"/>
      <c r="L375" s="39"/>
      <c r="M375" s="30">
        <f>SUM(M319:M374)</f>
        <v>0</v>
      </c>
      <c r="N375" s="30">
        <f>SUM(N319:N374)</f>
        <v>0</v>
      </c>
      <c r="O375" s="42">
        <f>O374</f>
        <v>835</v>
      </c>
    </row>
    <row r="377" spans="7:18" ht="15" thickBot="1" x14ac:dyDescent="0.4"/>
    <row r="378" spans="7:18" ht="33" customHeight="1" thickBot="1" x14ac:dyDescent="0.4">
      <c r="H378" s="61" t="s">
        <v>55</v>
      </c>
      <c r="I378" s="62"/>
      <c r="J378" s="62"/>
      <c r="K378" s="62"/>
      <c r="L378" s="62"/>
      <c r="M378" s="62"/>
      <c r="N378" s="62"/>
      <c r="O378" s="63"/>
    </row>
    <row r="379" spans="7:18" ht="25" customHeight="1" x14ac:dyDescent="0.35">
      <c r="G379" s="70" t="s">
        <v>56</v>
      </c>
      <c r="H379" s="57" t="s">
        <v>11</v>
      </c>
      <c r="I379" s="58" t="s">
        <v>12</v>
      </c>
      <c r="J379" s="58" t="s">
        <v>33</v>
      </c>
      <c r="K379" s="58" t="s">
        <v>34</v>
      </c>
      <c r="L379" s="58" t="s">
        <v>43</v>
      </c>
      <c r="M379" s="58" t="s">
        <v>2</v>
      </c>
      <c r="N379" s="58" t="s">
        <v>1</v>
      </c>
      <c r="O379" s="59" t="s">
        <v>9</v>
      </c>
    </row>
    <row r="380" spans="7:18" ht="16" x14ac:dyDescent="0.35">
      <c r="G380" s="65"/>
      <c r="H380" s="54"/>
      <c r="I380" s="55"/>
      <c r="J380" s="55"/>
      <c r="K380" s="15"/>
      <c r="L380" s="55"/>
      <c r="M380" s="15">
        <f>K380*I380</f>
        <v>0</v>
      </c>
      <c r="N380" s="15">
        <v>0</v>
      </c>
      <c r="O380" s="56">
        <f>O375+M380-N380</f>
        <v>835</v>
      </c>
    </row>
    <row r="381" spans="7:18" ht="16.5" thickBot="1" x14ac:dyDescent="0.4">
      <c r="G381" s="65"/>
      <c r="H381" s="54"/>
      <c r="I381" s="35"/>
      <c r="J381" s="35"/>
      <c r="K381" s="23"/>
      <c r="L381" s="35"/>
      <c r="M381" s="23">
        <f t="shared" ref="M381:M435" si="16">K381*I381</f>
        <v>0</v>
      </c>
      <c r="N381" s="23">
        <v>0</v>
      </c>
      <c r="O381" s="56">
        <f>O380+M381-N381</f>
        <v>835</v>
      </c>
    </row>
    <row r="382" spans="7:18" ht="16.5" thickBot="1" x14ac:dyDescent="0.4">
      <c r="G382" s="65"/>
      <c r="H382" s="54"/>
      <c r="I382" s="35"/>
      <c r="J382" s="35"/>
      <c r="K382" s="23"/>
      <c r="L382" s="35"/>
      <c r="M382" s="23">
        <f t="shared" si="16"/>
        <v>0</v>
      </c>
      <c r="N382" s="23">
        <v>0</v>
      </c>
      <c r="O382" s="56">
        <f t="shared" ref="O382:O435" si="17">O381+M382-N382</f>
        <v>835</v>
      </c>
      <c r="Q382" s="80" t="s">
        <v>71</v>
      </c>
      <c r="R382" s="81"/>
    </row>
    <row r="383" spans="7:18" ht="16" x14ac:dyDescent="0.35">
      <c r="G383" s="65"/>
      <c r="H383" s="54"/>
      <c r="I383" s="35"/>
      <c r="J383" s="35"/>
      <c r="K383" s="23"/>
      <c r="L383" s="35"/>
      <c r="M383" s="23">
        <f t="shared" si="16"/>
        <v>0</v>
      </c>
      <c r="N383" s="23">
        <v>0</v>
      </c>
      <c r="O383" s="56">
        <f t="shared" si="17"/>
        <v>835</v>
      </c>
      <c r="Q383" s="72" t="s">
        <v>25</v>
      </c>
      <c r="R383" s="73"/>
    </row>
    <row r="384" spans="7:18" ht="16" x14ac:dyDescent="0.35">
      <c r="G384" s="65"/>
      <c r="H384" s="54"/>
      <c r="I384" s="35"/>
      <c r="J384" s="35"/>
      <c r="K384" s="23"/>
      <c r="L384" s="35"/>
      <c r="M384" s="23">
        <f t="shared" si="16"/>
        <v>0</v>
      </c>
      <c r="N384" s="23">
        <v>0</v>
      </c>
      <c r="O384" s="56">
        <f t="shared" si="17"/>
        <v>835</v>
      </c>
      <c r="Q384" s="74" t="s">
        <v>36</v>
      </c>
      <c r="R384" s="75"/>
    </row>
    <row r="385" spans="7:18" ht="16" x14ac:dyDescent="0.35">
      <c r="G385" s="65"/>
      <c r="H385" s="54"/>
      <c r="I385" s="35"/>
      <c r="J385" s="35"/>
      <c r="K385" s="23"/>
      <c r="L385" s="35"/>
      <c r="M385" s="23">
        <f t="shared" si="16"/>
        <v>0</v>
      </c>
      <c r="N385" s="23">
        <v>0</v>
      </c>
      <c r="O385" s="56">
        <f t="shared" si="17"/>
        <v>835</v>
      </c>
      <c r="Q385" s="74" t="s">
        <v>37</v>
      </c>
      <c r="R385" s="75"/>
    </row>
    <row r="386" spans="7:18" ht="16.5" thickBot="1" x14ac:dyDescent="0.4">
      <c r="G386" s="65"/>
      <c r="H386" s="54"/>
      <c r="I386" s="35"/>
      <c r="J386" s="35"/>
      <c r="K386" s="23"/>
      <c r="L386" s="35"/>
      <c r="M386" s="23">
        <f t="shared" si="16"/>
        <v>0</v>
      </c>
      <c r="N386" s="23">
        <v>0</v>
      </c>
      <c r="O386" s="56">
        <f t="shared" si="17"/>
        <v>835</v>
      </c>
      <c r="Q386" s="76" t="s">
        <v>26</v>
      </c>
      <c r="R386" s="77"/>
    </row>
    <row r="387" spans="7:18" ht="16.5" thickBot="1" x14ac:dyDescent="0.4">
      <c r="G387" s="65"/>
      <c r="H387" s="54"/>
      <c r="I387" s="35"/>
      <c r="J387" s="35"/>
      <c r="K387" s="23"/>
      <c r="L387" s="35"/>
      <c r="M387" s="23">
        <f t="shared" si="16"/>
        <v>0</v>
      </c>
      <c r="N387" s="23">
        <v>0</v>
      </c>
      <c r="O387" s="56">
        <f t="shared" si="17"/>
        <v>835</v>
      </c>
      <c r="Q387" s="78" t="s">
        <v>63</v>
      </c>
      <c r="R387" s="79">
        <f>SUM(R383:R386)</f>
        <v>0</v>
      </c>
    </row>
    <row r="388" spans="7:18" ht="16" x14ac:dyDescent="0.35">
      <c r="G388" s="65"/>
      <c r="H388" s="44"/>
      <c r="I388" s="35"/>
      <c r="J388" s="35"/>
      <c r="K388" s="23"/>
      <c r="L388" s="35"/>
      <c r="M388" s="23">
        <f t="shared" si="16"/>
        <v>0</v>
      </c>
      <c r="N388" s="23">
        <v>0</v>
      </c>
      <c r="O388" s="56">
        <f t="shared" si="17"/>
        <v>835</v>
      </c>
    </row>
    <row r="389" spans="7:18" ht="16" x14ac:dyDescent="0.35">
      <c r="G389" s="65"/>
      <c r="H389" s="44"/>
      <c r="I389" s="35"/>
      <c r="J389" s="35"/>
      <c r="K389" s="23"/>
      <c r="L389" s="35"/>
      <c r="M389" s="23">
        <f t="shared" si="16"/>
        <v>0</v>
      </c>
      <c r="N389" s="23">
        <v>0</v>
      </c>
      <c r="O389" s="56">
        <f t="shared" si="17"/>
        <v>835</v>
      </c>
    </row>
    <row r="390" spans="7:18" ht="16" x14ac:dyDescent="0.35">
      <c r="G390" s="65"/>
      <c r="H390" s="44"/>
      <c r="I390" s="35"/>
      <c r="J390" s="35"/>
      <c r="K390" s="23"/>
      <c r="L390" s="35"/>
      <c r="M390" s="23">
        <f t="shared" si="16"/>
        <v>0</v>
      </c>
      <c r="N390" s="23">
        <v>0</v>
      </c>
      <c r="O390" s="56">
        <f t="shared" si="17"/>
        <v>835</v>
      </c>
    </row>
    <row r="391" spans="7:18" ht="16" x14ac:dyDescent="0.35">
      <c r="G391" s="65"/>
      <c r="H391" s="44"/>
      <c r="I391" s="35"/>
      <c r="J391" s="35"/>
      <c r="K391" s="23"/>
      <c r="L391" s="35"/>
      <c r="M391" s="23">
        <f t="shared" si="16"/>
        <v>0</v>
      </c>
      <c r="N391" s="23">
        <v>0</v>
      </c>
      <c r="O391" s="56">
        <f t="shared" si="17"/>
        <v>835</v>
      </c>
    </row>
    <row r="392" spans="7:18" ht="16" x14ac:dyDescent="0.35">
      <c r="G392" s="65"/>
      <c r="H392" s="44"/>
      <c r="I392" s="35"/>
      <c r="J392" s="35"/>
      <c r="K392" s="23"/>
      <c r="L392" s="35"/>
      <c r="M392" s="23">
        <f t="shared" si="16"/>
        <v>0</v>
      </c>
      <c r="N392" s="23">
        <v>0</v>
      </c>
      <c r="O392" s="56">
        <f t="shared" si="17"/>
        <v>835</v>
      </c>
    </row>
    <row r="393" spans="7:18" ht="16" x14ac:dyDescent="0.35">
      <c r="G393" s="65"/>
      <c r="H393" s="44"/>
      <c r="I393" s="35"/>
      <c r="J393" s="35"/>
      <c r="K393" s="23"/>
      <c r="L393" s="35"/>
      <c r="M393" s="23">
        <f t="shared" si="16"/>
        <v>0</v>
      </c>
      <c r="N393" s="23">
        <v>0</v>
      </c>
      <c r="O393" s="56">
        <f t="shared" si="17"/>
        <v>835</v>
      </c>
    </row>
    <row r="394" spans="7:18" ht="16" x14ac:dyDescent="0.35">
      <c r="G394" s="65"/>
      <c r="H394" s="44"/>
      <c r="I394" s="35"/>
      <c r="J394" s="35"/>
      <c r="K394" s="23"/>
      <c r="L394" s="35"/>
      <c r="M394" s="23">
        <f t="shared" si="16"/>
        <v>0</v>
      </c>
      <c r="N394" s="23">
        <v>0</v>
      </c>
      <c r="O394" s="56">
        <f t="shared" si="17"/>
        <v>835</v>
      </c>
    </row>
    <row r="395" spans="7:18" ht="16" x14ac:dyDescent="0.35">
      <c r="G395" s="65"/>
      <c r="H395" s="44"/>
      <c r="I395" s="35"/>
      <c r="J395" s="35"/>
      <c r="K395" s="23"/>
      <c r="L395" s="35"/>
      <c r="M395" s="23">
        <f t="shared" si="16"/>
        <v>0</v>
      </c>
      <c r="N395" s="23">
        <v>0</v>
      </c>
      <c r="O395" s="56">
        <f t="shared" si="17"/>
        <v>835</v>
      </c>
    </row>
    <row r="396" spans="7:18" ht="16" x14ac:dyDescent="0.35">
      <c r="G396" s="65"/>
      <c r="H396" s="44"/>
      <c r="I396" s="35"/>
      <c r="J396" s="35"/>
      <c r="K396" s="23"/>
      <c r="L396" s="35"/>
      <c r="M396" s="23">
        <f t="shared" si="16"/>
        <v>0</v>
      </c>
      <c r="N396" s="23">
        <v>0</v>
      </c>
      <c r="O396" s="56">
        <f t="shared" si="17"/>
        <v>835</v>
      </c>
    </row>
    <row r="397" spans="7:18" ht="16" x14ac:dyDescent="0.35">
      <c r="G397" s="65"/>
      <c r="H397" s="25"/>
      <c r="I397" s="35"/>
      <c r="J397" s="35"/>
      <c r="K397" s="23"/>
      <c r="L397" s="35"/>
      <c r="M397" s="23">
        <f t="shared" si="16"/>
        <v>0</v>
      </c>
      <c r="N397" s="23">
        <v>0</v>
      </c>
      <c r="O397" s="56">
        <f t="shared" si="17"/>
        <v>835</v>
      </c>
    </row>
    <row r="398" spans="7:18" ht="16" x14ac:dyDescent="0.35">
      <c r="G398" s="65"/>
      <c r="H398" s="25"/>
      <c r="I398" s="35"/>
      <c r="J398" s="35"/>
      <c r="K398" s="23"/>
      <c r="L398" s="35"/>
      <c r="M398" s="23">
        <f t="shared" si="16"/>
        <v>0</v>
      </c>
      <c r="N398" s="23">
        <v>0</v>
      </c>
      <c r="O398" s="56">
        <f t="shared" si="17"/>
        <v>835</v>
      </c>
    </row>
    <row r="399" spans="7:18" ht="16" x14ac:dyDescent="0.35">
      <c r="G399" s="65"/>
      <c r="H399" s="25"/>
      <c r="I399" s="35"/>
      <c r="J399" s="35"/>
      <c r="K399" s="23"/>
      <c r="L399" s="35"/>
      <c r="M399" s="23">
        <f t="shared" si="16"/>
        <v>0</v>
      </c>
      <c r="N399" s="23">
        <v>0</v>
      </c>
      <c r="O399" s="56">
        <f t="shared" si="17"/>
        <v>835</v>
      </c>
    </row>
    <row r="400" spans="7:18" ht="16" x14ac:dyDescent="0.35">
      <c r="G400" s="65"/>
      <c r="H400" s="25"/>
      <c r="I400" s="35"/>
      <c r="J400" s="35"/>
      <c r="K400" s="23"/>
      <c r="L400" s="35"/>
      <c r="M400" s="23">
        <f t="shared" si="16"/>
        <v>0</v>
      </c>
      <c r="N400" s="23">
        <v>0</v>
      </c>
      <c r="O400" s="56">
        <f t="shared" si="17"/>
        <v>835</v>
      </c>
    </row>
    <row r="401" spans="7:15" ht="16" x14ac:dyDescent="0.35">
      <c r="G401" s="65"/>
      <c r="H401" s="25"/>
      <c r="I401" s="35"/>
      <c r="J401" s="35"/>
      <c r="K401" s="23"/>
      <c r="L401" s="35"/>
      <c r="M401" s="23">
        <f t="shared" si="16"/>
        <v>0</v>
      </c>
      <c r="N401" s="23">
        <v>0</v>
      </c>
      <c r="O401" s="56">
        <f t="shared" si="17"/>
        <v>835</v>
      </c>
    </row>
    <row r="402" spans="7:15" ht="16" x14ac:dyDescent="0.35">
      <c r="G402" s="65"/>
      <c r="H402" s="25"/>
      <c r="I402" s="35"/>
      <c r="J402" s="35"/>
      <c r="K402" s="23"/>
      <c r="L402" s="35"/>
      <c r="M402" s="23">
        <f t="shared" si="16"/>
        <v>0</v>
      </c>
      <c r="N402" s="23">
        <v>0</v>
      </c>
      <c r="O402" s="56">
        <f t="shared" si="17"/>
        <v>835</v>
      </c>
    </row>
    <row r="403" spans="7:15" ht="16" x14ac:dyDescent="0.35">
      <c r="G403" s="65"/>
      <c r="H403" s="25"/>
      <c r="I403" s="35"/>
      <c r="J403" s="35"/>
      <c r="K403" s="23"/>
      <c r="L403" s="35"/>
      <c r="M403" s="23">
        <f t="shared" si="16"/>
        <v>0</v>
      </c>
      <c r="N403" s="23">
        <v>0</v>
      </c>
      <c r="O403" s="56">
        <f t="shared" si="17"/>
        <v>835</v>
      </c>
    </row>
    <row r="404" spans="7:15" ht="16" x14ac:dyDescent="0.35">
      <c r="G404" s="65"/>
      <c r="H404" s="25"/>
      <c r="I404" s="35"/>
      <c r="J404" s="35"/>
      <c r="K404" s="23"/>
      <c r="L404" s="35"/>
      <c r="M404" s="23">
        <f t="shared" si="16"/>
        <v>0</v>
      </c>
      <c r="N404" s="23">
        <v>0</v>
      </c>
      <c r="O404" s="56">
        <f t="shared" si="17"/>
        <v>835</v>
      </c>
    </row>
    <row r="405" spans="7:15" ht="16" x14ac:dyDescent="0.35">
      <c r="G405" s="65"/>
      <c r="H405" s="25"/>
      <c r="I405" s="35"/>
      <c r="J405" s="35"/>
      <c r="K405" s="23"/>
      <c r="L405" s="35"/>
      <c r="M405" s="23">
        <f t="shared" si="16"/>
        <v>0</v>
      </c>
      <c r="N405" s="23">
        <v>0</v>
      </c>
      <c r="O405" s="56">
        <f t="shared" si="17"/>
        <v>835</v>
      </c>
    </row>
    <row r="406" spans="7:15" ht="16" x14ac:dyDescent="0.35">
      <c r="G406" s="65"/>
      <c r="H406" s="25"/>
      <c r="I406" s="35"/>
      <c r="J406" s="35"/>
      <c r="K406" s="23"/>
      <c r="L406" s="35"/>
      <c r="M406" s="23">
        <f t="shared" si="16"/>
        <v>0</v>
      </c>
      <c r="N406" s="23">
        <v>0</v>
      </c>
      <c r="O406" s="56">
        <f t="shared" si="17"/>
        <v>835</v>
      </c>
    </row>
    <row r="407" spans="7:15" ht="16" x14ac:dyDescent="0.35">
      <c r="G407" s="65"/>
      <c r="H407" s="25"/>
      <c r="I407" s="35"/>
      <c r="J407" s="35"/>
      <c r="K407" s="23"/>
      <c r="L407" s="35"/>
      <c r="M407" s="23">
        <f t="shared" si="16"/>
        <v>0</v>
      </c>
      <c r="N407" s="23">
        <v>0</v>
      </c>
      <c r="O407" s="56">
        <f t="shared" si="17"/>
        <v>835</v>
      </c>
    </row>
    <row r="408" spans="7:15" ht="16" x14ac:dyDescent="0.35">
      <c r="G408" s="65"/>
      <c r="H408" s="25"/>
      <c r="I408" s="35"/>
      <c r="J408" s="35"/>
      <c r="K408" s="23"/>
      <c r="L408" s="35"/>
      <c r="M408" s="23">
        <f t="shared" si="16"/>
        <v>0</v>
      </c>
      <c r="N408" s="23">
        <v>0</v>
      </c>
      <c r="O408" s="56">
        <f t="shared" si="17"/>
        <v>835</v>
      </c>
    </row>
    <row r="409" spans="7:15" ht="16" x14ac:dyDescent="0.35">
      <c r="G409" s="65"/>
      <c r="H409" s="25"/>
      <c r="I409" s="35"/>
      <c r="J409" s="35"/>
      <c r="K409" s="23"/>
      <c r="L409" s="35"/>
      <c r="M409" s="23">
        <f t="shared" si="16"/>
        <v>0</v>
      </c>
      <c r="N409" s="23">
        <v>0</v>
      </c>
      <c r="O409" s="56">
        <f t="shared" si="17"/>
        <v>835</v>
      </c>
    </row>
    <row r="410" spans="7:15" ht="16" x14ac:dyDescent="0.35">
      <c r="G410" s="65"/>
      <c r="H410" s="25"/>
      <c r="I410" s="35"/>
      <c r="J410" s="35"/>
      <c r="K410" s="23"/>
      <c r="L410" s="35"/>
      <c r="M410" s="23">
        <f t="shared" si="16"/>
        <v>0</v>
      </c>
      <c r="N410" s="23">
        <v>0</v>
      </c>
      <c r="O410" s="56">
        <f t="shared" si="17"/>
        <v>835</v>
      </c>
    </row>
    <row r="411" spans="7:15" ht="16" x14ac:dyDescent="0.35">
      <c r="G411" s="65"/>
      <c r="H411" s="25"/>
      <c r="I411" s="35"/>
      <c r="J411" s="35"/>
      <c r="K411" s="23"/>
      <c r="L411" s="35"/>
      <c r="M411" s="23">
        <f t="shared" si="16"/>
        <v>0</v>
      </c>
      <c r="N411" s="23">
        <v>0</v>
      </c>
      <c r="O411" s="56">
        <f t="shared" si="17"/>
        <v>835</v>
      </c>
    </row>
    <row r="412" spans="7:15" ht="16" x14ac:dyDescent="0.35">
      <c r="G412" s="65"/>
      <c r="H412" s="25"/>
      <c r="I412" s="35"/>
      <c r="J412" s="35"/>
      <c r="K412" s="23"/>
      <c r="L412" s="35"/>
      <c r="M412" s="23">
        <f t="shared" si="16"/>
        <v>0</v>
      </c>
      <c r="N412" s="23">
        <v>0</v>
      </c>
      <c r="O412" s="56">
        <f t="shared" si="17"/>
        <v>835</v>
      </c>
    </row>
    <row r="413" spans="7:15" ht="16" x14ac:dyDescent="0.35">
      <c r="G413" s="65"/>
      <c r="H413" s="25"/>
      <c r="I413" s="35"/>
      <c r="J413" s="35"/>
      <c r="K413" s="23"/>
      <c r="L413" s="35"/>
      <c r="M413" s="23">
        <f t="shared" si="16"/>
        <v>0</v>
      </c>
      <c r="N413" s="23">
        <v>0</v>
      </c>
      <c r="O413" s="56">
        <f t="shared" si="17"/>
        <v>835</v>
      </c>
    </row>
    <row r="414" spans="7:15" ht="16" x14ac:dyDescent="0.35">
      <c r="G414" s="65"/>
      <c r="H414" s="25"/>
      <c r="I414" s="35"/>
      <c r="J414" s="35"/>
      <c r="K414" s="23"/>
      <c r="L414" s="35"/>
      <c r="M414" s="23">
        <f t="shared" si="16"/>
        <v>0</v>
      </c>
      <c r="N414" s="23">
        <v>0</v>
      </c>
      <c r="O414" s="56">
        <f t="shared" si="17"/>
        <v>835</v>
      </c>
    </row>
    <row r="415" spans="7:15" ht="16" x14ac:dyDescent="0.35">
      <c r="G415" s="65"/>
      <c r="H415" s="25"/>
      <c r="I415" s="35"/>
      <c r="J415" s="35"/>
      <c r="K415" s="23"/>
      <c r="L415" s="35"/>
      <c r="M415" s="23">
        <f t="shared" si="16"/>
        <v>0</v>
      </c>
      <c r="N415" s="23">
        <v>0</v>
      </c>
      <c r="O415" s="56">
        <f t="shared" si="17"/>
        <v>835</v>
      </c>
    </row>
    <row r="416" spans="7:15" ht="16" x14ac:dyDescent="0.35">
      <c r="G416" s="65"/>
      <c r="H416" s="25"/>
      <c r="I416" s="35"/>
      <c r="J416" s="35"/>
      <c r="K416" s="23"/>
      <c r="L416" s="35"/>
      <c r="M416" s="23">
        <f t="shared" si="16"/>
        <v>0</v>
      </c>
      <c r="N416" s="23">
        <v>0</v>
      </c>
      <c r="O416" s="56">
        <f t="shared" si="17"/>
        <v>835</v>
      </c>
    </row>
    <row r="417" spans="7:15" ht="16" x14ac:dyDescent="0.35">
      <c r="G417" s="65"/>
      <c r="H417" s="25"/>
      <c r="I417" s="35"/>
      <c r="J417" s="35"/>
      <c r="K417" s="23"/>
      <c r="L417" s="35"/>
      <c r="M417" s="23">
        <f t="shared" si="16"/>
        <v>0</v>
      </c>
      <c r="N417" s="23">
        <v>0</v>
      </c>
      <c r="O417" s="56">
        <f t="shared" si="17"/>
        <v>835</v>
      </c>
    </row>
    <row r="418" spans="7:15" ht="16" x14ac:dyDescent="0.35">
      <c r="G418" s="65"/>
      <c r="H418" s="25"/>
      <c r="I418" s="35"/>
      <c r="J418" s="35"/>
      <c r="K418" s="23"/>
      <c r="L418" s="35"/>
      <c r="M418" s="23">
        <f t="shared" si="16"/>
        <v>0</v>
      </c>
      <c r="N418" s="23">
        <v>0</v>
      </c>
      <c r="O418" s="56">
        <f t="shared" si="17"/>
        <v>835</v>
      </c>
    </row>
    <row r="419" spans="7:15" ht="16" x14ac:dyDescent="0.35">
      <c r="G419" s="65"/>
      <c r="H419" s="25"/>
      <c r="I419" s="35"/>
      <c r="J419" s="35"/>
      <c r="K419" s="23"/>
      <c r="L419" s="35"/>
      <c r="M419" s="23">
        <f t="shared" si="16"/>
        <v>0</v>
      </c>
      <c r="N419" s="23">
        <v>0</v>
      </c>
      <c r="O419" s="56">
        <f t="shared" si="17"/>
        <v>835</v>
      </c>
    </row>
    <row r="420" spans="7:15" ht="16" x14ac:dyDescent="0.35">
      <c r="G420" s="65"/>
      <c r="H420" s="25"/>
      <c r="I420" s="35"/>
      <c r="J420" s="35"/>
      <c r="K420" s="23"/>
      <c r="L420" s="35"/>
      <c r="M420" s="23">
        <f t="shared" si="16"/>
        <v>0</v>
      </c>
      <c r="N420" s="23">
        <v>0</v>
      </c>
      <c r="O420" s="56">
        <f t="shared" si="17"/>
        <v>835</v>
      </c>
    </row>
    <row r="421" spans="7:15" ht="16" x14ac:dyDescent="0.35">
      <c r="G421" s="65"/>
      <c r="H421" s="25"/>
      <c r="I421" s="35"/>
      <c r="J421" s="35"/>
      <c r="K421" s="23"/>
      <c r="L421" s="35"/>
      <c r="M421" s="23">
        <f t="shared" si="16"/>
        <v>0</v>
      </c>
      <c r="N421" s="23">
        <v>0</v>
      </c>
      <c r="O421" s="56">
        <f t="shared" si="17"/>
        <v>835</v>
      </c>
    </row>
    <row r="422" spans="7:15" ht="16" x14ac:dyDescent="0.35">
      <c r="G422" s="65"/>
      <c r="H422" s="25"/>
      <c r="I422" s="35"/>
      <c r="J422" s="35"/>
      <c r="K422" s="23"/>
      <c r="L422" s="35"/>
      <c r="M422" s="23">
        <f t="shared" si="16"/>
        <v>0</v>
      </c>
      <c r="N422" s="23">
        <v>0</v>
      </c>
      <c r="O422" s="56">
        <f t="shared" si="17"/>
        <v>835</v>
      </c>
    </row>
    <row r="423" spans="7:15" ht="16" x14ac:dyDescent="0.35">
      <c r="G423" s="65"/>
      <c r="H423" s="25"/>
      <c r="I423" s="35"/>
      <c r="J423" s="35"/>
      <c r="K423" s="23"/>
      <c r="L423" s="35"/>
      <c r="M423" s="23">
        <f t="shared" si="16"/>
        <v>0</v>
      </c>
      <c r="N423" s="23">
        <v>0</v>
      </c>
      <c r="O423" s="56">
        <f t="shared" si="17"/>
        <v>835</v>
      </c>
    </row>
    <row r="424" spans="7:15" ht="16" x14ac:dyDescent="0.35">
      <c r="G424" s="65"/>
      <c r="H424" s="25"/>
      <c r="I424" s="35"/>
      <c r="J424" s="35"/>
      <c r="K424" s="23"/>
      <c r="L424" s="35"/>
      <c r="M424" s="23">
        <f t="shared" si="16"/>
        <v>0</v>
      </c>
      <c r="N424" s="23">
        <v>0</v>
      </c>
      <c r="O424" s="56">
        <f t="shared" si="17"/>
        <v>835</v>
      </c>
    </row>
    <row r="425" spans="7:15" ht="16" x14ac:dyDescent="0.35">
      <c r="G425" s="65"/>
      <c r="H425" s="25"/>
      <c r="I425" s="35"/>
      <c r="J425" s="35"/>
      <c r="K425" s="23"/>
      <c r="L425" s="35"/>
      <c r="M425" s="23">
        <f t="shared" si="16"/>
        <v>0</v>
      </c>
      <c r="N425" s="23">
        <v>0</v>
      </c>
      <c r="O425" s="56">
        <f t="shared" si="17"/>
        <v>835</v>
      </c>
    </row>
    <row r="426" spans="7:15" ht="16" x14ac:dyDescent="0.35">
      <c r="G426" s="65"/>
      <c r="H426" s="25"/>
      <c r="I426" s="35"/>
      <c r="J426" s="35"/>
      <c r="K426" s="23"/>
      <c r="L426" s="35"/>
      <c r="M426" s="23">
        <f t="shared" si="16"/>
        <v>0</v>
      </c>
      <c r="N426" s="23">
        <v>0</v>
      </c>
      <c r="O426" s="56">
        <f t="shared" si="17"/>
        <v>835</v>
      </c>
    </row>
    <row r="427" spans="7:15" ht="16" x14ac:dyDescent="0.35">
      <c r="G427" s="65"/>
      <c r="H427" s="25"/>
      <c r="I427" s="35"/>
      <c r="J427" s="35"/>
      <c r="K427" s="23"/>
      <c r="L427" s="35"/>
      <c r="M427" s="23">
        <f t="shared" si="16"/>
        <v>0</v>
      </c>
      <c r="N427" s="23">
        <v>0</v>
      </c>
      <c r="O427" s="56">
        <f t="shared" si="17"/>
        <v>835</v>
      </c>
    </row>
    <row r="428" spans="7:15" ht="16" x14ac:dyDescent="0.35">
      <c r="G428" s="65"/>
      <c r="H428" s="25"/>
      <c r="I428" s="35"/>
      <c r="J428" s="35"/>
      <c r="K428" s="23"/>
      <c r="L428" s="35"/>
      <c r="M428" s="23">
        <f t="shared" si="16"/>
        <v>0</v>
      </c>
      <c r="N428" s="23">
        <v>0</v>
      </c>
      <c r="O428" s="56">
        <f t="shared" si="17"/>
        <v>835</v>
      </c>
    </row>
    <row r="429" spans="7:15" ht="16" x14ac:dyDescent="0.35">
      <c r="G429" s="65"/>
      <c r="H429" s="25"/>
      <c r="I429" s="35"/>
      <c r="J429" s="35"/>
      <c r="K429" s="23"/>
      <c r="L429" s="35"/>
      <c r="M429" s="23">
        <f t="shared" si="16"/>
        <v>0</v>
      </c>
      <c r="N429" s="23">
        <v>0</v>
      </c>
      <c r="O429" s="56">
        <f t="shared" si="17"/>
        <v>835</v>
      </c>
    </row>
    <row r="430" spans="7:15" ht="16" x14ac:dyDescent="0.35">
      <c r="G430" s="65"/>
      <c r="H430" s="25"/>
      <c r="I430" s="35"/>
      <c r="J430" s="35"/>
      <c r="K430" s="23"/>
      <c r="L430" s="35"/>
      <c r="M430" s="23">
        <f t="shared" si="16"/>
        <v>0</v>
      </c>
      <c r="N430" s="23">
        <v>0</v>
      </c>
      <c r="O430" s="56">
        <f t="shared" si="17"/>
        <v>835</v>
      </c>
    </row>
    <row r="431" spans="7:15" ht="16" x14ac:dyDescent="0.35">
      <c r="G431" s="65"/>
      <c r="H431" s="25"/>
      <c r="I431" s="35"/>
      <c r="J431" s="35"/>
      <c r="K431" s="23"/>
      <c r="L431" s="35"/>
      <c r="M431" s="23">
        <f t="shared" si="16"/>
        <v>0</v>
      </c>
      <c r="N431" s="23">
        <v>0</v>
      </c>
      <c r="O431" s="56">
        <f t="shared" si="17"/>
        <v>835</v>
      </c>
    </row>
    <row r="432" spans="7:15" ht="16" x14ac:dyDescent="0.35">
      <c r="G432" s="65"/>
      <c r="H432" s="25"/>
      <c r="I432" s="35"/>
      <c r="J432" s="35"/>
      <c r="K432" s="23"/>
      <c r="L432" s="35"/>
      <c r="M432" s="23">
        <f t="shared" si="16"/>
        <v>0</v>
      </c>
      <c r="N432" s="23">
        <v>0</v>
      </c>
      <c r="O432" s="56">
        <f t="shared" si="17"/>
        <v>835</v>
      </c>
    </row>
    <row r="433" spans="7:18" ht="16" x14ac:dyDescent="0.35">
      <c r="G433" s="65"/>
      <c r="H433" s="25"/>
      <c r="I433" s="35"/>
      <c r="J433" s="35"/>
      <c r="K433" s="23"/>
      <c r="L433" s="35"/>
      <c r="M433" s="23">
        <f t="shared" si="16"/>
        <v>0</v>
      </c>
      <c r="N433" s="23">
        <v>0</v>
      </c>
      <c r="O433" s="56">
        <f t="shared" si="17"/>
        <v>835</v>
      </c>
    </row>
    <row r="434" spans="7:18" ht="16" x14ac:dyDescent="0.35">
      <c r="G434" s="65"/>
      <c r="H434" s="25"/>
      <c r="I434" s="35"/>
      <c r="J434" s="35"/>
      <c r="K434" s="23"/>
      <c r="L434" s="35"/>
      <c r="M434" s="23">
        <f t="shared" si="16"/>
        <v>0</v>
      </c>
      <c r="N434" s="23">
        <v>0</v>
      </c>
      <c r="O434" s="56">
        <f t="shared" si="17"/>
        <v>835</v>
      </c>
    </row>
    <row r="435" spans="7:18" ht="16.5" thickBot="1" x14ac:dyDescent="0.4">
      <c r="G435" s="66"/>
      <c r="H435" s="37"/>
      <c r="I435" s="38"/>
      <c r="J435" s="38"/>
      <c r="K435" s="27"/>
      <c r="L435" s="38"/>
      <c r="M435" s="27">
        <f t="shared" si="16"/>
        <v>0</v>
      </c>
      <c r="N435" s="27">
        <v>0</v>
      </c>
      <c r="O435" s="60">
        <f t="shared" si="17"/>
        <v>835</v>
      </c>
    </row>
    <row r="436" spans="7:18" ht="16.5" thickBot="1" x14ac:dyDescent="0.4">
      <c r="H436" s="39"/>
      <c r="I436" s="39"/>
      <c r="J436" s="39"/>
      <c r="K436" s="39"/>
      <c r="L436" s="39"/>
      <c r="M436" s="30">
        <f>SUM(M380:M435)</f>
        <v>0</v>
      </c>
      <c r="N436" s="30">
        <f>SUM(N380:N435)</f>
        <v>0</v>
      </c>
      <c r="O436" s="42">
        <f>O435</f>
        <v>835</v>
      </c>
    </row>
    <row r="438" spans="7:18" ht="15" thickBot="1" x14ac:dyDescent="0.4"/>
    <row r="439" spans="7:18" ht="32" customHeight="1" thickBot="1" x14ac:dyDescent="0.4">
      <c r="H439" s="61" t="s">
        <v>57</v>
      </c>
      <c r="I439" s="62"/>
      <c r="J439" s="62"/>
      <c r="K439" s="62"/>
      <c r="L439" s="62"/>
      <c r="M439" s="62"/>
      <c r="N439" s="62"/>
      <c r="O439" s="63"/>
    </row>
    <row r="440" spans="7:18" ht="26" customHeight="1" x14ac:dyDescent="0.35">
      <c r="G440" s="70" t="s">
        <v>58</v>
      </c>
      <c r="H440" s="57" t="s">
        <v>11</v>
      </c>
      <c r="I440" s="58" t="s">
        <v>12</v>
      </c>
      <c r="J440" s="58" t="s">
        <v>33</v>
      </c>
      <c r="K440" s="58" t="s">
        <v>34</v>
      </c>
      <c r="L440" s="58" t="s">
        <v>43</v>
      </c>
      <c r="M440" s="58" t="s">
        <v>2</v>
      </c>
      <c r="N440" s="58" t="s">
        <v>1</v>
      </c>
      <c r="O440" s="59" t="s">
        <v>9</v>
      </c>
    </row>
    <row r="441" spans="7:18" ht="16" x14ac:dyDescent="0.35">
      <c r="G441" s="65"/>
      <c r="H441" s="54"/>
      <c r="I441" s="55"/>
      <c r="J441" s="55"/>
      <c r="K441" s="15"/>
      <c r="L441" s="55"/>
      <c r="M441" s="15">
        <f>K441*I441</f>
        <v>0</v>
      </c>
      <c r="N441" s="15">
        <v>0</v>
      </c>
      <c r="O441" s="56">
        <f>O436+M441-N441</f>
        <v>835</v>
      </c>
    </row>
    <row r="442" spans="7:18" ht="16" x14ac:dyDescent="0.35">
      <c r="G442" s="65"/>
      <c r="H442" s="54"/>
      <c r="I442" s="35"/>
      <c r="J442" s="35"/>
      <c r="K442" s="23"/>
      <c r="L442" s="35"/>
      <c r="M442" s="23">
        <f t="shared" ref="M442:M496" si="18">K442*I442</f>
        <v>0</v>
      </c>
      <c r="N442" s="23">
        <v>0</v>
      </c>
      <c r="O442" s="56">
        <f>O441+M442-N442</f>
        <v>835</v>
      </c>
    </row>
    <row r="443" spans="7:18" ht="16.5" thickBot="1" x14ac:dyDescent="0.4">
      <c r="G443" s="65"/>
      <c r="H443" s="54"/>
      <c r="I443" s="35"/>
      <c r="J443" s="35"/>
      <c r="K443" s="23"/>
      <c r="L443" s="35"/>
      <c r="M443" s="23">
        <f t="shared" si="18"/>
        <v>0</v>
      </c>
      <c r="N443" s="23">
        <v>0</v>
      </c>
      <c r="O443" s="56">
        <f t="shared" ref="O443:O496" si="19">O442+M443-N443</f>
        <v>835</v>
      </c>
    </row>
    <row r="444" spans="7:18" ht="16.5" thickBot="1" x14ac:dyDescent="0.4">
      <c r="G444" s="65"/>
      <c r="H444" s="54"/>
      <c r="I444" s="35"/>
      <c r="J444" s="35"/>
      <c r="K444" s="23"/>
      <c r="L444" s="35"/>
      <c r="M444" s="23">
        <f t="shared" si="18"/>
        <v>0</v>
      </c>
      <c r="N444" s="23">
        <v>0</v>
      </c>
      <c r="O444" s="56">
        <f t="shared" si="19"/>
        <v>835</v>
      </c>
      <c r="Q444" s="80" t="s">
        <v>72</v>
      </c>
      <c r="R444" s="81"/>
    </row>
    <row r="445" spans="7:18" ht="16" x14ac:dyDescent="0.35">
      <c r="G445" s="65"/>
      <c r="H445" s="54"/>
      <c r="I445" s="35"/>
      <c r="J445" s="35"/>
      <c r="K445" s="23"/>
      <c r="L445" s="35"/>
      <c r="M445" s="23">
        <f t="shared" si="18"/>
        <v>0</v>
      </c>
      <c r="N445" s="23">
        <v>0</v>
      </c>
      <c r="O445" s="56">
        <f t="shared" si="19"/>
        <v>835</v>
      </c>
      <c r="Q445" s="72" t="s">
        <v>25</v>
      </c>
      <c r="R445" s="73"/>
    </row>
    <row r="446" spans="7:18" ht="16" x14ac:dyDescent="0.35">
      <c r="G446" s="65"/>
      <c r="H446" s="54"/>
      <c r="I446" s="35"/>
      <c r="J446" s="35"/>
      <c r="K446" s="23"/>
      <c r="L446" s="35"/>
      <c r="M446" s="23">
        <f t="shared" si="18"/>
        <v>0</v>
      </c>
      <c r="N446" s="23">
        <v>0</v>
      </c>
      <c r="O446" s="56">
        <f t="shared" si="19"/>
        <v>835</v>
      </c>
      <c r="Q446" s="74" t="s">
        <v>36</v>
      </c>
      <c r="R446" s="75"/>
    </row>
    <row r="447" spans="7:18" ht="16" x14ac:dyDescent="0.35">
      <c r="G447" s="65"/>
      <c r="H447" s="54"/>
      <c r="I447" s="35"/>
      <c r="J447" s="35"/>
      <c r="K447" s="23"/>
      <c r="L447" s="35"/>
      <c r="M447" s="23">
        <f t="shared" si="18"/>
        <v>0</v>
      </c>
      <c r="N447" s="23">
        <v>0</v>
      </c>
      <c r="O447" s="56">
        <f t="shared" si="19"/>
        <v>835</v>
      </c>
      <c r="Q447" s="74" t="s">
        <v>37</v>
      </c>
      <c r="R447" s="75"/>
    </row>
    <row r="448" spans="7:18" ht="16.5" thickBot="1" x14ac:dyDescent="0.4">
      <c r="G448" s="65"/>
      <c r="H448" s="54"/>
      <c r="I448" s="35"/>
      <c r="J448" s="35"/>
      <c r="K448" s="23"/>
      <c r="L448" s="35"/>
      <c r="M448" s="23">
        <f t="shared" si="18"/>
        <v>0</v>
      </c>
      <c r="N448" s="23">
        <v>0</v>
      </c>
      <c r="O448" s="56">
        <f t="shared" si="19"/>
        <v>835</v>
      </c>
      <c r="Q448" s="76" t="s">
        <v>26</v>
      </c>
      <c r="R448" s="77"/>
    </row>
    <row r="449" spans="7:18" ht="16.5" thickBot="1" x14ac:dyDescent="0.4">
      <c r="G449" s="65"/>
      <c r="H449" s="44"/>
      <c r="I449" s="35"/>
      <c r="J449" s="35"/>
      <c r="K449" s="23"/>
      <c r="L449" s="35"/>
      <c r="M449" s="23">
        <f t="shared" si="18"/>
        <v>0</v>
      </c>
      <c r="N449" s="23">
        <v>0</v>
      </c>
      <c r="O449" s="56">
        <f t="shared" si="19"/>
        <v>835</v>
      </c>
      <c r="Q449" s="78" t="s">
        <v>63</v>
      </c>
      <c r="R449" s="79">
        <f>SUM(R445:R448)</f>
        <v>0</v>
      </c>
    </row>
    <row r="450" spans="7:18" ht="16" x14ac:dyDescent="0.35">
      <c r="G450" s="65"/>
      <c r="H450" s="44"/>
      <c r="I450" s="35"/>
      <c r="J450" s="35"/>
      <c r="K450" s="23"/>
      <c r="L450" s="35"/>
      <c r="M450" s="23">
        <f t="shared" si="18"/>
        <v>0</v>
      </c>
      <c r="N450" s="23">
        <v>0</v>
      </c>
      <c r="O450" s="56">
        <f t="shared" si="19"/>
        <v>835</v>
      </c>
    </row>
    <row r="451" spans="7:18" ht="16" x14ac:dyDescent="0.35">
      <c r="G451" s="65"/>
      <c r="H451" s="44"/>
      <c r="I451" s="35"/>
      <c r="J451" s="35"/>
      <c r="K451" s="23"/>
      <c r="L451" s="35"/>
      <c r="M451" s="23">
        <f t="shared" si="18"/>
        <v>0</v>
      </c>
      <c r="N451" s="23">
        <v>0</v>
      </c>
      <c r="O451" s="56">
        <f t="shared" si="19"/>
        <v>835</v>
      </c>
    </row>
    <row r="452" spans="7:18" ht="16" x14ac:dyDescent="0.35">
      <c r="G452" s="65"/>
      <c r="H452" s="44"/>
      <c r="I452" s="35"/>
      <c r="J452" s="35"/>
      <c r="K452" s="23"/>
      <c r="L452" s="35"/>
      <c r="M452" s="23">
        <f t="shared" si="18"/>
        <v>0</v>
      </c>
      <c r="N452" s="23">
        <v>0</v>
      </c>
      <c r="O452" s="56">
        <f t="shared" si="19"/>
        <v>835</v>
      </c>
    </row>
    <row r="453" spans="7:18" ht="16" x14ac:dyDescent="0.35">
      <c r="G453" s="65"/>
      <c r="H453" s="44"/>
      <c r="I453" s="35"/>
      <c r="J453" s="35"/>
      <c r="K453" s="23"/>
      <c r="L453" s="35"/>
      <c r="M453" s="23">
        <f t="shared" si="18"/>
        <v>0</v>
      </c>
      <c r="N453" s="23">
        <v>0</v>
      </c>
      <c r="O453" s="56">
        <f t="shared" si="19"/>
        <v>835</v>
      </c>
    </row>
    <row r="454" spans="7:18" ht="16" x14ac:dyDescent="0.35">
      <c r="G454" s="65"/>
      <c r="H454" s="44"/>
      <c r="I454" s="35"/>
      <c r="J454" s="35"/>
      <c r="K454" s="23"/>
      <c r="L454" s="35"/>
      <c r="M454" s="23">
        <f t="shared" si="18"/>
        <v>0</v>
      </c>
      <c r="N454" s="23">
        <v>0</v>
      </c>
      <c r="O454" s="56">
        <f t="shared" si="19"/>
        <v>835</v>
      </c>
    </row>
    <row r="455" spans="7:18" ht="16" x14ac:dyDescent="0.35">
      <c r="G455" s="65"/>
      <c r="H455" s="44"/>
      <c r="I455" s="35"/>
      <c r="J455" s="35"/>
      <c r="K455" s="23"/>
      <c r="L455" s="35"/>
      <c r="M455" s="23">
        <f t="shared" si="18"/>
        <v>0</v>
      </c>
      <c r="N455" s="23">
        <v>0</v>
      </c>
      <c r="O455" s="56">
        <f t="shared" si="19"/>
        <v>835</v>
      </c>
    </row>
    <row r="456" spans="7:18" ht="16" x14ac:dyDescent="0.35">
      <c r="G456" s="65"/>
      <c r="H456" s="44"/>
      <c r="I456" s="35"/>
      <c r="J456" s="35"/>
      <c r="K456" s="23"/>
      <c r="L456" s="35"/>
      <c r="M456" s="23">
        <f t="shared" si="18"/>
        <v>0</v>
      </c>
      <c r="N456" s="23">
        <v>0</v>
      </c>
      <c r="O456" s="56">
        <f t="shared" si="19"/>
        <v>835</v>
      </c>
    </row>
    <row r="457" spans="7:18" ht="16" x14ac:dyDescent="0.35">
      <c r="G457" s="65"/>
      <c r="H457" s="44"/>
      <c r="I457" s="35"/>
      <c r="J457" s="35"/>
      <c r="K457" s="23"/>
      <c r="L457" s="35"/>
      <c r="M457" s="23">
        <f t="shared" si="18"/>
        <v>0</v>
      </c>
      <c r="N457" s="23">
        <v>0</v>
      </c>
      <c r="O457" s="56">
        <f t="shared" si="19"/>
        <v>835</v>
      </c>
    </row>
    <row r="458" spans="7:18" ht="16" x14ac:dyDescent="0.35">
      <c r="G458" s="65"/>
      <c r="H458" s="25"/>
      <c r="I458" s="35"/>
      <c r="J458" s="35"/>
      <c r="K458" s="23"/>
      <c r="L458" s="35"/>
      <c r="M458" s="23">
        <f t="shared" si="18"/>
        <v>0</v>
      </c>
      <c r="N458" s="23">
        <v>0</v>
      </c>
      <c r="O458" s="56">
        <f t="shared" si="19"/>
        <v>835</v>
      </c>
    </row>
    <row r="459" spans="7:18" ht="16" x14ac:dyDescent="0.35">
      <c r="G459" s="65"/>
      <c r="H459" s="25"/>
      <c r="I459" s="35"/>
      <c r="J459" s="35"/>
      <c r="K459" s="23"/>
      <c r="L459" s="35"/>
      <c r="M459" s="23">
        <f t="shared" si="18"/>
        <v>0</v>
      </c>
      <c r="N459" s="23">
        <v>0</v>
      </c>
      <c r="O459" s="56">
        <f t="shared" si="19"/>
        <v>835</v>
      </c>
    </row>
    <row r="460" spans="7:18" ht="16" x14ac:dyDescent="0.35">
      <c r="G460" s="65"/>
      <c r="H460" s="25"/>
      <c r="I460" s="35"/>
      <c r="J460" s="35"/>
      <c r="K460" s="23"/>
      <c r="L460" s="35"/>
      <c r="M460" s="23">
        <f t="shared" si="18"/>
        <v>0</v>
      </c>
      <c r="N460" s="23">
        <v>0</v>
      </c>
      <c r="O460" s="56">
        <f t="shared" si="19"/>
        <v>835</v>
      </c>
    </row>
    <row r="461" spans="7:18" ht="16" x14ac:dyDescent="0.35">
      <c r="G461" s="65"/>
      <c r="H461" s="25"/>
      <c r="I461" s="35"/>
      <c r="J461" s="35"/>
      <c r="K461" s="23"/>
      <c r="L461" s="35"/>
      <c r="M461" s="23">
        <f t="shared" si="18"/>
        <v>0</v>
      </c>
      <c r="N461" s="23">
        <v>0</v>
      </c>
      <c r="O461" s="56">
        <f t="shared" si="19"/>
        <v>835</v>
      </c>
    </row>
    <row r="462" spans="7:18" ht="16" x14ac:dyDescent="0.35">
      <c r="G462" s="65"/>
      <c r="H462" s="25"/>
      <c r="I462" s="35"/>
      <c r="J462" s="35"/>
      <c r="K462" s="23"/>
      <c r="L462" s="35"/>
      <c r="M462" s="23">
        <f t="shared" si="18"/>
        <v>0</v>
      </c>
      <c r="N462" s="23">
        <v>0</v>
      </c>
      <c r="O462" s="56">
        <f t="shared" si="19"/>
        <v>835</v>
      </c>
    </row>
    <row r="463" spans="7:18" ht="16" x14ac:dyDescent="0.35">
      <c r="G463" s="65"/>
      <c r="H463" s="25"/>
      <c r="I463" s="35"/>
      <c r="J463" s="35"/>
      <c r="K463" s="23"/>
      <c r="L463" s="35"/>
      <c r="M463" s="23">
        <f t="shared" si="18"/>
        <v>0</v>
      </c>
      <c r="N463" s="23">
        <v>0</v>
      </c>
      <c r="O463" s="56">
        <f t="shared" si="19"/>
        <v>835</v>
      </c>
    </row>
    <row r="464" spans="7:18" ht="16" x14ac:dyDescent="0.35">
      <c r="G464" s="65"/>
      <c r="H464" s="25"/>
      <c r="I464" s="35"/>
      <c r="J464" s="35"/>
      <c r="K464" s="23"/>
      <c r="L464" s="35"/>
      <c r="M464" s="23">
        <f t="shared" si="18"/>
        <v>0</v>
      </c>
      <c r="N464" s="23">
        <v>0</v>
      </c>
      <c r="O464" s="56">
        <f t="shared" si="19"/>
        <v>835</v>
      </c>
    </row>
    <row r="465" spans="7:15" ht="16" x14ac:dyDescent="0.35">
      <c r="G465" s="65"/>
      <c r="H465" s="25"/>
      <c r="I465" s="35"/>
      <c r="J465" s="35"/>
      <c r="K465" s="23"/>
      <c r="L465" s="35"/>
      <c r="M465" s="23">
        <f t="shared" si="18"/>
        <v>0</v>
      </c>
      <c r="N465" s="23">
        <v>0</v>
      </c>
      <c r="O465" s="56">
        <f t="shared" si="19"/>
        <v>835</v>
      </c>
    </row>
    <row r="466" spans="7:15" ht="16" x14ac:dyDescent="0.35">
      <c r="G466" s="65"/>
      <c r="H466" s="25"/>
      <c r="I466" s="35"/>
      <c r="J466" s="35"/>
      <c r="K466" s="23"/>
      <c r="L466" s="35"/>
      <c r="M466" s="23">
        <f t="shared" si="18"/>
        <v>0</v>
      </c>
      <c r="N466" s="23">
        <v>0</v>
      </c>
      <c r="O466" s="56">
        <f t="shared" si="19"/>
        <v>835</v>
      </c>
    </row>
    <row r="467" spans="7:15" ht="16" x14ac:dyDescent="0.35">
      <c r="G467" s="65"/>
      <c r="H467" s="25"/>
      <c r="I467" s="35"/>
      <c r="J467" s="35"/>
      <c r="K467" s="23"/>
      <c r="L467" s="35"/>
      <c r="M467" s="23">
        <f t="shared" si="18"/>
        <v>0</v>
      </c>
      <c r="N467" s="23">
        <v>0</v>
      </c>
      <c r="O467" s="56">
        <f t="shared" si="19"/>
        <v>835</v>
      </c>
    </row>
    <row r="468" spans="7:15" ht="16" x14ac:dyDescent="0.35">
      <c r="G468" s="65"/>
      <c r="H468" s="25"/>
      <c r="I468" s="35"/>
      <c r="J468" s="35"/>
      <c r="K468" s="23"/>
      <c r="L468" s="35"/>
      <c r="M468" s="23">
        <f t="shared" si="18"/>
        <v>0</v>
      </c>
      <c r="N468" s="23">
        <v>0</v>
      </c>
      <c r="O468" s="56">
        <f t="shared" si="19"/>
        <v>835</v>
      </c>
    </row>
    <row r="469" spans="7:15" ht="16" x14ac:dyDescent="0.35">
      <c r="G469" s="65"/>
      <c r="H469" s="25"/>
      <c r="I469" s="35"/>
      <c r="J469" s="35"/>
      <c r="K469" s="23"/>
      <c r="L469" s="35"/>
      <c r="M469" s="23">
        <f t="shared" si="18"/>
        <v>0</v>
      </c>
      <c r="N469" s="23">
        <v>0</v>
      </c>
      <c r="O469" s="56">
        <f t="shared" si="19"/>
        <v>835</v>
      </c>
    </row>
    <row r="470" spans="7:15" ht="16" x14ac:dyDescent="0.35">
      <c r="G470" s="65"/>
      <c r="H470" s="25"/>
      <c r="I470" s="35"/>
      <c r="J470" s="35"/>
      <c r="K470" s="23"/>
      <c r="L470" s="35"/>
      <c r="M470" s="23">
        <f t="shared" si="18"/>
        <v>0</v>
      </c>
      <c r="N470" s="23">
        <v>0</v>
      </c>
      <c r="O470" s="56">
        <f t="shared" si="19"/>
        <v>835</v>
      </c>
    </row>
    <row r="471" spans="7:15" ht="16" x14ac:dyDescent="0.35">
      <c r="G471" s="65"/>
      <c r="H471" s="25"/>
      <c r="I471" s="35"/>
      <c r="J471" s="35"/>
      <c r="K471" s="23"/>
      <c r="L471" s="35"/>
      <c r="M471" s="23">
        <f t="shared" si="18"/>
        <v>0</v>
      </c>
      <c r="N471" s="23">
        <v>0</v>
      </c>
      <c r="O471" s="56">
        <f t="shared" si="19"/>
        <v>835</v>
      </c>
    </row>
    <row r="472" spans="7:15" ht="16" x14ac:dyDescent="0.35">
      <c r="G472" s="65"/>
      <c r="H472" s="25"/>
      <c r="I472" s="35"/>
      <c r="J472" s="35"/>
      <c r="K472" s="23"/>
      <c r="L472" s="35"/>
      <c r="M472" s="23">
        <f t="shared" si="18"/>
        <v>0</v>
      </c>
      <c r="N472" s="23">
        <v>0</v>
      </c>
      <c r="O472" s="56">
        <f t="shared" si="19"/>
        <v>835</v>
      </c>
    </row>
    <row r="473" spans="7:15" ht="16" x14ac:dyDescent="0.35">
      <c r="G473" s="65"/>
      <c r="H473" s="25"/>
      <c r="I473" s="35"/>
      <c r="J473" s="35"/>
      <c r="K473" s="23"/>
      <c r="L473" s="35"/>
      <c r="M473" s="23">
        <f t="shared" si="18"/>
        <v>0</v>
      </c>
      <c r="N473" s="23">
        <v>0</v>
      </c>
      <c r="O473" s="56">
        <f t="shared" si="19"/>
        <v>835</v>
      </c>
    </row>
    <row r="474" spans="7:15" ht="16" x14ac:dyDescent="0.35">
      <c r="G474" s="65"/>
      <c r="H474" s="25"/>
      <c r="I474" s="35"/>
      <c r="J474" s="35"/>
      <c r="K474" s="23"/>
      <c r="L474" s="35"/>
      <c r="M474" s="23">
        <f t="shared" si="18"/>
        <v>0</v>
      </c>
      <c r="N474" s="23">
        <v>0</v>
      </c>
      <c r="O474" s="56">
        <f t="shared" si="19"/>
        <v>835</v>
      </c>
    </row>
    <row r="475" spans="7:15" ht="16" x14ac:dyDescent="0.35">
      <c r="G475" s="65"/>
      <c r="H475" s="25"/>
      <c r="I475" s="35"/>
      <c r="J475" s="35"/>
      <c r="K475" s="23"/>
      <c r="L475" s="35"/>
      <c r="M475" s="23">
        <f t="shared" si="18"/>
        <v>0</v>
      </c>
      <c r="N475" s="23">
        <v>0</v>
      </c>
      <c r="O475" s="56">
        <f t="shared" si="19"/>
        <v>835</v>
      </c>
    </row>
    <row r="476" spans="7:15" ht="16" x14ac:dyDescent="0.35">
      <c r="G476" s="65"/>
      <c r="H476" s="25"/>
      <c r="I476" s="35"/>
      <c r="J476" s="35"/>
      <c r="K476" s="23"/>
      <c r="L476" s="35"/>
      <c r="M476" s="23">
        <f t="shared" si="18"/>
        <v>0</v>
      </c>
      <c r="N476" s="23">
        <v>0</v>
      </c>
      <c r="O476" s="56">
        <f t="shared" si="19"/>
        <v>835</v>
      </c>
    </row>
    <row r="477" spans="7:15" ht="16" x14ac:dyDescent="0.35">
      <c r="G477" s="65"/>
      <c r="H477" s="25"/>
      <c r="I477" s="35"/>
      <c r="J477" s="35"/>
      <c r="K477" s="23"/>
      <c r="L477" s="35"/>
      <c r="M477" s="23">
        <f t="shared" si="18"/>
        <v>0</v>
      </c>
      <c r="N477" s="23">
        <v>0</v>
      </c>
      <c r="O477" s="56">
        <f t="shared" si="19"/>
        <v>835</v>
      </c>
    </row>
    <row r="478" spans="7:15" ht="16" x14ac:dyDescent="0.35">
      <c r="G478" s="65"/>
      <c r="H478" s="25"/>
      <c r="I478" s="35"/>
      <c r="J478" s="35"/>
      <c r="K478" s="23"/>
      <c r="L478" s="35"/>
      <c r="M478" s="23">
        <f t="shared" si="18"/>
        <v>0</v>
      </c>
      <c r="N478" s="23">
        <v>0</v>
      </c>
      <c r="O478" s="56">
        <f t="shared" si="19"/>
        <v>835</v>
      </c>
    </row>
    <row r="479" spans="7:15" ht="16" x14ac:dyDescent="0.35">
      <c r="G479" s="65"/>
      <c r="H479" s="25"/>
      <c r="I479" s="35"/>
      <c r="J479" s="35"/>
      <c r="K479" s="23"/>
      <c r="L479" s="35"/>
      <c r="M479" s="23">
        <f t="shared" si="18"/>
        <v>0</v>
      </c>
      <c r="N479" s="23">
        <v>0</v>
      </c>
      <c r="O479" s="56">
        <f t="shared" si="19"/>
        <v>835</v>
      </c>
    </row>
    <row r="480" spans="7:15" ht="16" x14ac:dyDescent="0.35">
      <c r="G480" s="65"/>
      <c r="H480" s="25"/>
      <c r="I480" s="35"/>
      <c r="J480" s="35"/>
      <c r="K480" s="23"/>
      <c r="L480" s="35"/>
      <c r="M480" s="23">
        <f t="shared" si="18"/>
        <v>0</v>
      </c>
      <c r="N480" s="23">
        <v>0</v>
      </c>
      <c r="O480" s="56">
        <f t="shared" si="19"/>
        <v>835</v>
      </c>
    </row>
    <row r="481" spans="7:15" ht="16" x14ac:dyDescent="0.35">
      <c r="G481" s="65"/>
      <c r="H481" s="25"/>
      <c r="I481" s="35"/>
      <c r="J481" s="35"/>
      <c r="K481" s="23"/>
      <c r="L481" s="35"/>
      <c r="M481" s="23">
        <f t="shared" si="18"/>
        <v>0</v>
      </c>
      <c r="N481" s="23">
        <v>0</v>
      </c>
      <c r="O481" s="56">
        <f t="shared" si="19"/>
        <v>835</v>
      </c>
    </row>
    <row r="482" spans="7:15" ht="16" x14ac:dyDescent="0.35">
      <c r="G482" s="65"/>
      <c r="H482" s="25"/>
      <c r="I482" s="35"/>
      <c r="J482" s="35"/>
      <c r="K482" s="23"/>
      <c r="L482" s="35"/>
      <c r="M482" s="23">
        <f t="shared" si="18"/>
        <v>0</v>
      </c>
      <c r="N482" s="23">
        <v>0</v>
      </c>
      <c r="O482" s="56">
        <f t="shared" si="19"/>
        <v>835</v>
      </c>
    </row>
    <row r="483" spans="7:15" ht="16" x14ac:dyDescent="0.35">
      <c r="G483" s="65"/>
      <c r="H483" s="25"/>
      <c r="I483" s="35"/>
      <c r="J483" s="35"/>
      <c r="K483" s="23"/>
      <c r="L483" s="35"/>
      <c r="M483" s="23">
        <f t="shared" si="18"/>
        <v>0</v>
      </c>
      <c r="N483" s="23">
        <v>0</v>
      </c>
      <c r="O483" s="56">
        <f t="shared" si="19"/>
        <v>835</v>
      </c>
    </row>
    <row r="484" spans="7:15" ht="16" x14ac:dyDescent="0.35">
      <c r="G484" s="65"/>
      <c r="H484" s="25"/>
      <c r="I484" s="35"/>
      <c r="J484" s="35"/>
      <c r="K484" s="23"/>
      <c r="L484" s="35"/>
      <c r="M484" s="23">
        <f t="shared" si="18"/>
        <v>0</v>
      </c>
      <c r="N484" s="23">
        <v>0</v>
      </c>
      <c r="O484" s="56">
        <f t="shared" si="19"/>
        <v>835</v>
      </c>
    </row>
    <row r="485" spans="7:15" ht="16" x14ac:dyDescent="0.35">
      <c r="G485" s="65"/>
      <c r="H485" s="25"/>
      <c r="I485" s="35"/>
      <c r="J485" s="35"/>
      <c r="K485" s="23"/>
      <c r="L485" s="35"/>
      <c r="M485" s="23">
        <f t="shared" si="18"/>
        <v>0</v>
      </c>
      <c r="N485" s="23">
        <v>0</v>
      </c>
      <c r="O485" s="56">
        <f t="shared" si="19"/>
        <v>835</v>
      </c>
    </row>
    <row r="486" spans="7:15" ht="16" x14ac:dyDescent="0.35">
      <c r="G486" s="65"/>
      <c r="H486" s="25"/>
      <c r="I486" s="35"/>
      <c r="J486" s="35"/>
      <c r="K486" s="23"/>
      <c r="L486" s="35"/>
      <c r="M486" s="23">
        <f t="shared" si="18"/>
        <v>0</v>
      </c>
      <c r="N486" s="23">
        <v>0</v>
      </c>
      <c r="O486" s="56">
        <f t="shared" si="19"/>
        <v>835</v>
      </c>
    </row>
    <row r="487" spans="7:15" ht="16" x14ac:dyDescent="0.35">
      <c r="G487" s="65"/>
      <c r="H487" s="25"/>
      <c r="I487" s="35"/>
      <c r="J487" s="35"/>
      <c r="K487" s="23"/>
      <c r="L487" s="35"/>
      <c r="M487" s="23">
        <f t="shared" si="18"/>
        <v>0</v>
      </c>
      <c r="N487" s="23">
        <v>0</v>
      </c>
      <c r="O487" s="56">
        <f t="shared" si="19"/>
        <v>835</v>
      </c>
    </row>
    <row r="488" spans="7:15" ht="16" x14ac:dyDescent="0.35">
      <c r="G488" s="65"/>
      <c r="H488" s="25"/>
      <c r="I488" s="35"/>
      <c r="J488" s="35"/>
      <c r="K488" s="23"/>
      <c r="L488" s="35"/>
      <c r="M488" s="23">
        <f t="shared" si="18"/>
        <v>0</v>
      </c>
      <c r="N488" s="23">
        <v>0</v>
      </c>
      <c r="O488" s="56">
        <f t="shared" si="19"/>
        <v>835</v>
      </c>
    </row>
    <row r="489" spans="7:15" ht="16" x14ac:dyDescent="0.35">
      <c r="G489" s="65"/>
      <c r="H489" s="25"/>
      <c r="I489" s="35"/>
      <c r="J489" s="35"/>
      <c r="K489" s="23"/>
      <c r="L489" s="35"/>
      <c r="M489" s="23">
        <f t="shared" si="18"/>
        <v>0</v>
      </c>
      <c r="N489" s="23">
        <v>0</v>
      </c>
      <c r="O489" s="56">
        <f t="shared" si="19"/>
        <v>835</v>
      </c>
    </row>
    <row r="490" spans="7:15" ht="16" x14ac:dyDescent="0.35">
      <c r="G490" s="65"/>
      <c r="H490" s="25"/>
      <c r="I490" s="35"/>
      <c r="J490" s="35"/>
      <c r="K490" s="23"/>
      <c r="L490" s="35"/>
      <c r="M490" s="23">
        <f t="shared" si="18"/>
        <v>0</v>
      </c>
      <c r="N490" s="23">
        <v>0</v>
      </c>
      <c r="O490" s="56">
        <f t="shared" si="19"/>
        <v>835</v>
      </c>
    </row>
    <row r="491" spans="7:15" ht="16" x14ac:dyDescent="0.35">
      <c r="G491" s="65"/>
      <c r="H491" s="25"/>
      <c r="I491" s="35"/>
      <c r="J491" s="35"/>
      <c r="K491" s="23"/>
      <c r="L491" s="35"/>
      <c r="M491" s="23">
        <f t="shared" si="18"/>
        <v>0</v>
      </c>
      <c r="N491" s="23">
        <v>0</v>
      </c>
      <c r="O491" s="56">
        <f t="shared" si="19"/>
        <v>835</v>
      </c>
    </row>
    <row r="492" spans="7:15" ht="16" x14ac:dyDescent="0.35">
      <c r="G492" s="65"/>
      <c r="H492" s="25"/>
      <c r="I492" s="35"/>
      <c r="J492" s="35"/>
      <c r="K492" s="23"/>
      <c r="L492" s="35"/>
      <c r="M492" s="23">
        <f t="shared" si="18"/>
        <v>0</v>
      </c>
      <c r="N492" s="23">
        <v>0</v>
      </c>
      <c r="O492" s="56">
        <f t="shared" si="19"/>
        <v>835</v>
      </c>
    </row>
    <row r="493" spans="7:15" ht="16" x14ac:dyDescent="0.35">
      <c r="G493" s="65"/>
      <c r="H493" s="25"/>
      <c r="I493" s="35"/>
      <c r="J493" s="35"/>
      <c r="K493" s="23"/>
      <c r="L493" s="35"/>
      <c r="M493" s="23">
        <f t="shared" si="18"/>
        <v>0</v>
      </c>
      <c r="N493" s="23">
        <v>0</v>
      </c>
      <c r="O493" s="56">
        <f t="shared" si="19"/>
        <v>835</v>
      </c>
    </row>
    <row r="494" spans="7:15" ht="16" x14ac:dyDescent="0.35">
      <c r="G494" s="65"/>
      <c r="H494" s="25"/>
      <c r="I494" s="35"/>
      <c r="J494" s="35"/>
      <c r="K494" s="23"/>
      <c r="L494" s="35"/>
      <c r="M494" s="23">
        <f t="shared" si="18"/>
        <v>0</v>
      </c>
      <c r="N494" s="23">
        <v>0</v>
      </c>
      <c r="O494" s="56">
        <f t="shared" si="19"/>
        <v>835</v>
      </c>
    </row>
    <row r="495" spans="7:15" ht="16" x14ac:dyDescent="0.35">
      <c r="G495" s="65"/>
      <c r="H495" s="25"/>
      <c r="I495" s="35"/>
      <c r="J495" s="35"/>
      <c r="K495" s="23"/>
      <c r="L495" s="35"/>
      <c r="M495" s="23">
        <f t="shared" si="18"/>
        <v>0</v>
      </c>
      <c r="N495" s="23">
        <v>0</v>
      </c>
      <c r="O495" s="56">
        <f t="shared" si="19"/>
        <v>835</v>
      </c>
    </row>
    <row r="496" spans="7:15" ht="16.5" thickBot="1" x14ac:dyDescent="0.4">
      <c r="G496" s="66"/>
      <c r="H496" s="37"/>
      <c r="I496" s="38"/>
      <c r="J496" s="38"/>
      <c r="K496" s="27"/>
      <c r="L496" s="38"/>
      <c r="M496" s="27">
        <f t="shared" si="18"/>
        <v>0</v>
      </c>
      <c r="N496" s="27">
        <v>0</v>
      </c>
      <c r="O496" s="60">
        <f t="shared" si="19"/>
        <v>835</v>
      </c>
    </row>
    <row r="497" spans="7:18" ht="16.5" thickBot="1" x14ac:dyDescent="0.4">
      <c r="H497" s="39"/>
      <c r="I497" s="39"/>
      <c r="J497" s="39"/>
      <c r="K497" s="39"/>
      <c r="L497" s="39"/>
      <c r="M497" s="30">
        <f>SUM(M441:M496)</f>
        <v>0</v>
      </c>
      <c r="N497" s="30">
        <f>SUM(N441:N496)</f>
        <v>0</v>
      </c>
      <c r="O497" s="42">
        <f>O496</f>
        <v>835</v>
      </c>
    </row>
    <row r="499" spans="7:18" ht="15" thickBot="1" x14ac:dyDescent="0.4"/>
    <row r="500" spans="7:18" ht="32" customHeight="1" thickBot="1" x14ac:dyDescent="0.4">
      <c r="H500" s="61" t="s">
        <v>59</v>
      </c>
      <c r="I500" s="62"/>
      <c r="J500" s="62"/>
      <c r="K500" s="62"/>
      <c r="L500" s="62"/>
      <c r="M500" s="62"/>
      <c r="N500" s="62"/>
      <c r="O500" s="63"/>
    </row>
    <row r="501" spans="7:18" ht="26" customHeight="1" x14ac:dyDescent="0.35">
      <c r="G501" s="70" t="s">
        <v>60</v>
      </c>
      <c r="H501" s="57" t="s">
        <v>11</v>
      </c>
      <c r="I501" s="58" t="s">
        <v>12</v>
      </c>
      <c r="J501" s="58" t="s">
        <v>33</v>
      </c>
      <c r="K501" s="58" t="s">
        <v>34</v>
      </c>
      <c r="L501" s="58" t="s">
        <v>43</v>
      </c>
      <c r="M501" s="58" t="s">
        <v>2</v>
      </c>
      <c r="N501" s="58" t="s">
        <v>1</v>
      </c>
      <c r="O501" s="59" t="s">
        <v>9</v>
      </c>
    </row>
    <row r="502" spans="7:18" ht="16" x14ac:dyDescent="0.35">
      <c r="G502" s="65"/>
      <c r="H502" s="54"/>
      <c r="I502" s="55"/>
      <c r="J502" s="55"/>
      <c r="K502" s="15"/>
      <c r="L502" s="55"/>
      <c r="M502" s="15">
        <f>K502*I502</f>
        <v>0</v>
      </c>
      <c r="N502" s="15">
        <v>0</v>
      </c>
      <c r="O502" s="56">
        <f>O497+M502-N502</f>
        <v>835</v>
      </c>
    </row>
    <row r="503" spans="7:18" ht="16" x14ac:dyDescent="0.35">
      <c r="G503" s="65"/>
      <c r="H503" s="54"/>
      <c r="I503" s="35"/>
      <c r="J503" s="35"/>
      <c r="K503" s="23"/>
      <c r="L503" s="35"/>
      <c r="M503" s="23">
        <f t="shared" ref="M503:M557" si="20">K503*I503</f>
        <v>0</v>
      </c>
      <c r="N503" s="23">
        <v>0</v>
      </c>
      <c r="O503" s="56">
        <f>O502+M503-N503</f>
        <v>835</v>
      </c>
    </row>
    <row r="504" spans="7:18" ht="16" x14ac:dyDescent="0.35">
      <c r="G504" s="65"/>
      <c r="H504" s="54"/>
      <c r="I504" s="35"/>
      <c r="J504" s="35"/>
      <c r="K504" s="23"/>
      <c r="L504" s="35"/>
      <c r="M504" s="23">
        <f t="shared" si="20"/>
        <v>0</v>
      </c>
      <c r="N504" s="23">
        <v>0</v>
      </c>
      <c r="O504" s="56">
        <f t="shared" ref="O504:O557" si="21">O503+M504-N504</f>
        <v>835</v>
      </c>
    </row>
    <row r="505" spans="7:18" ht="16" x14ac:dyDescent="0.35">
      <c r="G505" s="65"/>
      <c r="H505" s="54"/>
      <c r="I505" s="35"/>
      <c r="J505" s="35"/>
      <c r="K505" s="23"/>
      <c r="L505" s="35"/>
      <c r="M505" s="23">
        <f t="shared" si="20"/>
        <v>0</v>
      </c>
      <c r="N505" s="23">
        <v>0</v>
      </c>
      <c r="O505" s="56">
        <f t="shared" si="21"/>
        <v>835</v>
      </c>
    </row>
    <row r="506" spans="7:18" ht="16.5" thickBot="1" x14ac:dyDescent="0.4">
      <c r="G506" s="65"/>
      <c r="H506" s="54"/>
      <c r="I506" s="35"/>
      <c r="J506" s="35"/>
      <c r="K506" s="23"/>
      <c r="L506" s="35"/>
      <c r="M506" s="23">
        <f t="shared" si="20"/>
        <v>0</v>
      </c>
      <c r="N506" s="23">
        <v>0</v>
      </c>
      <c r="O506" s="56">
        <f t="shared" si="21"/>
        <v>835</v>
      </c>
    </row>
    <row r="507" spans="7:18" ht="16.5" thickBot="1" x14ac:dyDescent="0.4">
      <c r="G507" s="65"/>
      <c r="H507" s="54"/>
      <c r="I507" s="35"/>
      <c r="J507" s="35"/>
      <c r="K507" s="23"/>
      <c r="L507" s="35"/>
      <c r="M507" s="23">
        <f t="shared" si="20"/>
        <v>0</v>
      </c>
      <c r="N507" s="23">
        <v>0</v>
      </c>
      <c r="O507" s="56">
        <f t="shared" si="21"/>
        <v>835</v>
      </c>
      <c r="Q507" s="80" t="s">
        <v>73</v>
      </c>
      <c r="R507" s="81"/>
    </row>
    <row r="508" spans="7:18" ht="16" x14ac:dyDescent="0.35">
      <c r="G508" s="65"/>
      <c r="H508" s="54"/>
      <c r="I508" s="35"/>
      <c r="J508" s="35"/>
      <c r="K508" s="23"/>
      <c r="L508" s="35"/>
      <c r="M508" s="23">
        <f t="shared" si="20"/>
        <v>0</v>
      </c>
      <c r="N508" s="23">
        <v>0</v>
      </c>
      <c r="O508" s="56">
        <f t="shared" si="21"/>
        <v>835</v>
      </c>
      <c r="Q508" s="72" t="s">
        <v>25</v>
      </c>
      <c r="R508" s="73"/>
    </row>
    <row r="509" spans="7:18" ht="16" x14ac:dyDescent="0.35">
      <c r="G509" s="65"/>
      <c r="H509" s="54"/>
      <c r="I509" s="35"/>
      <c r="J509" s="35"/>
      <c r="K509" s="23"/>
      <c r="L509" s="35"/>
      <c r="M509" s="23">
        <f t="shared" si="20"/>
        <v>0</v>
      </c>
      <c r="N509" s="23">
        <v>0</v>
      </c>
      <c r="O509" s="56">
        <f t="shared" si="21"/>
        <v>835</v>
      </c>
      <c r="Q509" s="74" t="s">
        <v>36</v>
      </c>
      <c r="R509" s="75"/>
    </row>
    <row r="510" spans="7:18" ht="16" x14ac:dyDescent="0.35">
      <c r="G510" s="65"/>
      <c r="H510" s="44"/>
      <c r="I510" s="35"/>
      <c r="J510" s="35"/>
      <c r="K510" s="23"/>
      <c r="L510" s="35"/>
      <c r="M510" s="23">
        <f t="shared" si="20"/>
        <v>0</v>
      </c>
      <c r="N510" s="23">
        <v>0</v>
      </c>
      <c r="O510" s="56">
        <f t="shared" si="21"/>
        <v>835</v>
      </c>
      <c r="Q510" s="74" t="s">
        <v>37</v>
      </c>
      <c r="R510" s="75"/>
    </row>
    <row r="511" spans="7:18" ht="16.5" thickBot="1" x14ac:dyDescent="0.4">
      <c r="G511" s="65"/>
      <c r="H511" s="44"/>
      <c r="I511" s="35"/>
      <c r="J511" s="35"/>
      <c r="K511" s="23"/>
      <c r="L511" s="35"/>
      <c r="M511" s="23">
        <f t="shared" si="20"/>
        <v>0</v>
      </c>
      <c r="N511" s="23">
        <v>0</v>
      </c>
      <c r="O511" s="56">
        <f t="shared" si="21"/>
        <v>835</v>
      </c>
      <c r="Q511" s="76" t="s">
        <v>26</v>
      </c>
      <c r="R511" s="77"/>
    </row>
    <row r="512" spans="7:18" ht="16.5" thickBot="1" x14ac:dyDescent="0.4">
      <c r="G512" s="65"/>
      <c r="H512" s="44"/>
      <c r="I512" s="35"/>
      <c r="J512" s="35"/>
      <c r="K512" s="23"/>
      <c r="L512" s="35"/>
      <c r="M512" s="23">
        <f t="shared" si="20"/>
        <v>0</v>
      </c>
      <c r="N512" s="23">
        <v>0</v>
      </c>
      <c r="O512" s="56">
        <f t="shared" si="21"/>
        <v>835</v>
      </c>
      <c r="Q512" s="78" t="s">
        <v>63</v>
      </c>
      <c r="R512" s="79">
        <f>SUM(R508:R511)</f>
        <v>0</v>
      </c>
    </row>
    <row r="513" spans="7:15" ht="16" x14ac:dyDescent="0.35">
      <c r="G513" s="65"/>
      <c r="H513" s="44"/>
      <c r="I513" s="35"/>
      <c r="J513" s="35"/>
      <c r="K513" s="23"/>
      <c r="L513" s="35"/>
      <c r="M513" s="23">
        <f t="shared" si="20"/>
        <v>0</v>
      </c>
      <c r="N513" s="23">
        <v>0</v>
      </c>
      <c r="O513" s="56">
        <f t="shared" si="21"/>
        <v>835</v>
      </c>
    </row>
    <row r="514" spans="7:15" ht="16" x14ac:dyDescent="0.35">
      <c r="G514" s="65"/>
      <c r="H514" s="44"/>
      <c r="I514" s="35"/>
      <c r="J514" s="35"/>
      <c r="K514" s="23"/>
      <c r="L514" s="35"/>
      <c r="M514" s="23">
        <f t="shared" si="20"/>
        <v>0</v>
      </c>
      <c r="N514" s="23">
        <v>0</v>
      </c>
      <c r="O514" s="56">
        <f t="shared" si="21"/>
        <v>835</v>
      </c>
    </row>
    <row r="515" spans="7:15" ht="16" x14ac:dyDescent="0.35">
      <c r="G515" s="65"/>
      <c r="H515" s="44"/>
      <c r="I515" s="35"/>
      <c r="J515" s="35"/>
      <c r="K515" s="23"/>
      <c r="L515" s="35"/>
      <c r="M515" s="23">
        <f t="shared" si="20"/>
        <v>0</v>
      </c>
      <c r="N515" s="23">
        <v>0</v>
      </c>
      <c r="O515" s="56">
        <f t="shared" si="21"/>
        <v>835</v>
      </c>
    </row>
    <row r="516" spans="7:15" ht="16" x14ac:dyDescent="0.35">
      <c r="G516" s="65"/>
      <c r="H516" s="44"/>
      <c r="I516" s="35"/>
      <c r="J516" s="35"/>
      <c r="K516" s="23"/>
      <c r="L516" s="35"/>
      <c r="M516" s="23">
        <f t="shared" si="20"/>
        <v>0</v>
      </c>
      <c r="N516" s="23">
        <v>0</v>
      </c>
      <c r="O516" s="56">
        <f t="shared" si="21"/>
        <v>835</v>
      </c>
    </row>
    <row r="517" spans="7:15" ht="16" x14ac:dyDescent="0.35">
      <c r="G517" s="65"/>
      <c r="H517" s="44"/>
      <c r="I517" s="35"/>
      <c r="J517" s="35"/>
      <c r="K517" s="23"/>
      <c r="L517" s="35"/>
      <c r="M517" s="23">
        <f t="shared" si="20"/>
        <v>0</v>
      </c>
      <c r="N517" s="23">
        <v>0</v>
      </c>
      <c r="O517" s="56">
        <f t="shared" si="21"/>
        <v>835</v>
      </c>
    </row>
    <row r="518" spans="7:15" ht="16" x14ac:dyDescent="0.35">
      <c r="G518" s="65"/>
      <c r="H518" s="44"/>
      <c r="I518" s="35"/>
      <c r="J518" s="35"/>
      <c r="K518" s="23"/>
      <c r="L518" s="35"/>
      <c r="M518" s="23">
        <f t="shared" si="20"/>
        <v>0</v>
      </c>
      <c r="N518" s="23">
        <v>0</v>
      </c>
      <c r="O518" s="56">
        <f t="shared" si="21"/>
        <v>835</v>
      </c>
    </row>
    <row r="519" spans="7:15" ht="16" x14ac:dyDescent="0.35">
      <c r="G519" s="65"/>
      <c r="H519" s="25"/>
      <c r="I519" s="35"/>
      <c r="J519" s="35"/>
      <c r="K519" s="23"/>
      <c r="L519" s="35"/>
      <c r="M519" s="23">
        <f t="shared" si="20"/>
        <v>0</v>
      </c>
      <c r="N519" s="23">
        <v>0</v>
      </c>
      <c r="O519" s="56">
        <f t="shared" si="21"/>
        <v>835</v>
      </c>
    </row>
    <row r="520" spans="7:15" ht="16" x14ac:dyDescent="0.35">
      <c r="G520" s="65"/>
      <c r="H520" s="25"/>
      <c r="I520" s="35"/>
      <c r="J520" s="35"/>
      <c r="K520" s="23"/>
      <c r="L520" s="35"/>
      <c r="M520" s="23">
        <f t="shared" si="20"/>
        <v>0</v>
      </c>
      <c r="N520" s="23">
        <v>0</v>
      </c>
      <c r="O520" s="56">
        <f t="shared" si="21"/>
        <v>835</v>
      </c>
    </row>
    <row r="521" spans="7:15" ht="16" x14ac:dyDescent="0.35">
      <c r="G521" s="65"/>
      <c r="H521" s="25"/>
      <c r="I521" s="35"/>
      <c r="J521" s="35"/>
      <c r="K521" s="23"/>
      <c r="L521" s="35"/>
      <c r="M521" s="23">
        <f t="shared" si="20"/>
        <v>0</v>
      </c>
      <c r="N521" s="23">
        <v>0</v>
      </c>
      <c r="O521" s="56">
        <f t="shared" si="21"/>
        <v>835</v>
      </c>
    </row>
    <row r="522" spans="7:15" ht="16" x14ac:dyDescent="0.35">
      <c r="G522" s="65"/>
      <c r="H522" s="25"/>
      <c r="I522" s="35"/>
      <c r="J522" s="35"/>
      <c r="K522" s="23"/>
      <c r="L522" s="35"/>
      <c r="M522" s="23">
        <f t="shared" si="20"/>
        <v>0</v>
      </c>
      <c r="N522" s="23">
        <v>0</v>
      </c>
      <c r="O522" s="56">
        <f t="shared" si="21"/>
        <v>835</v>
      </c>
    </row>
    <row r="523" spans="7:15" ht="16" x14ac:dyDescent="0.35">
      <c r="G523" s="65"/>
      <c r="H523" s="25"/>
      <c r="I523" s="35"/>
      <c r="J523" s="35"/>
      <c r="K523" s="23"/>
      <c r="L523" s="35"/>
      <c r="M523" s="23">
        <f t="shared" si="20"/>
        <v>0</v>
      </c>
      <c r="N523" s="23">
        <v>0</v>
      </c>
      <c r="O523" s="56">
        <f t="shared" si="21"/>
        <v>835</v>
      </c>
    </row>
    <row r="524" spans="7:15" ht="16" x14ac:dyDescent="0.35">
      <c r="G524" s="65"/>
      <c r="H524" s="25"/>
      <c r="I524" s="35"/>
      <c r="J524" s="35"/>
      <c r="K524" s="23"/>
      <c r="L524" s="35"/>
      <c r="M524" s="23">
        <f t="shared" si="20"/>
        <v>0</v>
      </c>
      <c r="N524" s="23">
        <v>0</v>
      </c>
      <c r="O524" s="56">
        <f t="shared" si="21"/>
        <v>835</v>
      </c>
    </row>
    <row r="525" spans="7:15" ht="16" x14ac:dyDescent="0.35">
      <c r="G525" s="65"/>
      <c r="H525" s="25"/>
      <c r="I525" s="35"/>
      <c r="J525" s="35"/>
      <c r="K525" s="23"/>
      <c r="L525" s="35"/>
      <c r="M525" s="23">
        <f t="shared" si="20"/>
        <v>0</v>
      </c>
      <c r="N525" s="23">
        <v>0</v>
      </c>
      <c r="O525" s="56">
        <f t="shared" si="21"/>
        <v>835</v>
      </c>
    </row>
    <row r="526" spans="7:15" ht="16" x14ac:dyDescent="0.35">
      <c r="G526" s="65"/>
      <c r="H526" s="25"/>
      <c r="I526" s="35"/>
      <c r="J526" s="35"/>
      <c r="K526" s="23"/>
      <c r="L526" s="35"/>
      <c r="M526" s="23">
        <f t="shared" si="20"/>
        <v>0</v>
      </c>
      <c r="N526" s="23">
        <v>0</v>
      </c>
      <c r="O526" s="56">
        <f t="shared" si="21"/>
        <v>835</v>
      </c>
    </row>
    <row r="527" spans="7:15" ht="16" x14ac:dyDescent="0.35">
      <c r="G527" s="65"/>
      <c r="H527" s="25"/>
      <c r="I527" s="35"/>
      <c r="J527" s="35"/>
      <c r="K527" s="23"/>
      <c r="L527" s="35"/>
      <c r="M527" s="23">
        <f t="shared" si="20"/>
        <v>0</v>
      </c>
      <c r="N527" s="23">
        <v>0</v>
      </c>
      <c r="O527" s="56">
        <f t="shared" si="21"/>
        <v>835</v>
      </c>
    </row>
    <row r="528" spans="7:15" ht="16" x14ac:dyDescent="0.35">
      <c r="G528" s="65"/>
      <c r="H528" s="25"/>
      <c r="I528" s="35"/>
      <c r="J528" s="35"/>
      <c r="K528" s="23"/>
      <c r="L528" s="35"/>
      <c r="M528" s="23">
        <f t="shared" si="20"/>
        <v>0</v>
      </c>
      <c r="N528" s="23">
        <v>0</v>
      </c>
      <c r="O528" s="56">
        <f t="shared" si="21"/>
        <v>835</v>
      </c>
    </row>
    <row r="529" spans="7:15" ht="16" x14ac:dyDescent="0.35">
      <c r="G529" s="65"/>
      <c r="H529" s="25"/>
      <c r="I529" s="35"/>
      <c r="J529" s="35"/>
      <c r="K529" s="23"/>
      <c r="L529" s="35"/>
      <c r="M529" s="23">
        <f t="shared" si="20"/>
        <v>0</v>
      </c>
      <c r="N529" s="23">
        <v>0</v>
      </c>
      <c r="O529" s="56">
        <f t="shared" si="21"/>
        <v>835</v>
      </c>
    </row>
    <row r="530" spans="7:15" ht="16" x14ac:dyDescent="0.35">
      <c r="G530" s="65"/>
      <c r="H530" s="25"/>
      <c r="I530" s="35"/>
      <c r="J530" s="35"/>
      <c r="K530" s="23"/>
      <c r="L530" s="35"/>
      <c r="M530" s="23">
        <f t="shared" si="20"/>
        <v>0</v>
      </c>
      <c r="N530" s="23">
        <v>0</v>
      </c>
      <c r="O530" s="56">
        <f t="shared" si="21"/>
        <v>835</v>
      </c>
    </row>
    <row r="531" spans="7:15" ht="16" x14ac:dyDescent="0.35">
      <c r="G531" s="65"/>
      <c r="H531" s="25"/>
      <c r="I531" s="35"/>
      <c r="J531" s="35"/>
      <c r="K531" s="23"/>
      <c r="L531" s="35"/>
      <c r="M531" s="23">
        <f t="shared" si="20"/>
        <v>0</v>
      </c>
      <c r="N531" s="23">
        <v>0</v>
      </c>
      <c r="O531" s="56">
        <f t="shared" si="21"/>
        <v>835</v>
      </c>
    </row>
    <row r="532" spans="7:15" ht="16" x14ac:dyDescent="0.35">
      <c r="G532" s="65"/>
      <c r="H532" s="25"/>
      <c r="I532" s="35"/>
      <c r="J532" s="35"/>
      <c r="K532" s="23"/>
      <c r="L532" s="35"/>
      <c r="M532" s="23">
        <f t="shared" si="20"/>
        <v>0</v>
      </c>
      <c r="N532" s="23">
        <v>0</v>
      </c>
      <c r="O532" s="56">
        <f t="shared" si="21"/>
        <v>835</v>
      </c>
    </row>
    <row r="533" spans="7:15" ht="16" x14ac:dyDescent="0.35">
      <c r="G533" s="65"/>
      <c r="H533" s="25"/>
      <c r="I533" s="35"/>
      <c r="J533" s="35"/>
      <c r="K533" s="23"/>
      <c r="L533" s="35"/>
      <c r="M533" s="23">
        <f t="shared" si="20"/>
        <v>0</v>
      </c>
      <c r="N533" s="23">
        <v>0</v>
      </c>
      <c r="O533" s="56">
        <f t="shared" si="21"/>
        <v>835</v>
      </c>
    </row>
    <row r="534" spans="7:15" ht="16" x14ac:dyDescent="0.35">
      <c r="G534" s="65"/>
      <c r="H534" s="25"/>
      <c r="I534" s="35"/>
      <c r="J534" s="35"/>
      <c r="K534" s="23"/>
      <c r="L534" s="35"/>
      <c r="M534" s="23">
        <f t="shared" si="20"/>
        <v>0</v>
      </c>
      <c r="N534" s="23">
        <v>0</v>
      </c>
      <c r="O534" s="56">
        <f t="shared" si="21"/>
        <v>835</v>
      </c>
    </row>
    <row r="535" spans="7:15" ht="16" x14ac:dyDescent="0.35">
      <c r="G535" s="65"/>
      <c r="H535" s="25"/>
      <c r="I535" s="35"/>
      <c r="J535" s="35"/>
      <c r="K535" s="23"/>
      <c r="L535" s="35"/>
      <c r="M535" s="23">
        <f t="shared" si="20"/>
        <v>0</v>
      </c>
      <c r="N535" s="23">
        <v>0</v>
      </c>
      <c r="O535" s="56">
        <f t="shared" si="21"/>
        <v>835</v>
      </c>
    </row>
    <row r="536" spans="7:15" ht="16" x14ac:dyDescent="0.35">
      <c r="G536" s="65"/>
      <c r="H536" s="25"/>
      <c r="I536" s="35"/>
      <c r="J536" s="35"/>
      <c r="K536" s="23"/>
      <c r="L536" s="35"/>
      <c r="M536" s="23">
        <f t="shared" si="20"/>
        <v>0</v>
      </c>
      <c r="N536" s="23">
        <v>0</v>
      </c>
      <c r="O536" s="56">
        <f t="shared" si="21"/>
        <v>835</v>
      </c>
    </row>
    <row r="537" spans="7:15" ht="16" x14ac:dyDescent="0.35">
      <c r="G537" s="65"/>
      <c r="H537" s="25"/>
      <c r="I537" s="35"/>
      <c r="J537" s="35"/>
      <c r="K537" s="23"/>
      <c r="L537" s="35"/>
      <c r="M537" s="23">
        <f t="shared" si="20"/>
        <v>0</v>
      </c>
      <c r="N537" s="23">
        <v>0</v>
      </c>
      <c r="O537" s="56">
        <f t="shared" si="21"/>
        <v>835</v>
      </c>
    </row>
    <row r="538" spans="7:15" ht="16" x14ac:dyDescent="0.35">
      <c r="G538" s="65"/>
      <c r="H538" s="25"/>
      <c r="I538" s="35"/>
      <c r="J538" s="35"/>
      <c r="K538" s="23"/>
      <c r="L538" s="35"/>
      <c r="M538" s="23">
        <f t="shared" si="20"/>
        <v>0</v>
      </c>
      <c r="N538" s="23">
        <v>0</v>
      </c>
      <c r="O538" s="56">
        <f t="shared" si="21"/>
        <v>835</v>
      </c>
    </row>
    <row r="539" spans="7:15" ht="16" x14ac:dyDescent="0.35">
      <c r="G539" s="65"/>
      <c r="H539" s="25"/>
      <c r="I539" s="35"/>
      <c r="J539" s="35"/>
      <c r="K539" s="23"/>
      <c r="L539" s="35"/>
      <c r="M539" s="23">
        <f t="shared" si="20"/>
        <v>0</v>
      </c>
      <c r="N539" s="23">
        <v>0</v>
      </c>
      <c r="O539" s="56">
        <f t="shared" si="21"/>
        <v>835</v>
      </c>
    </row>
    <row r="540" spans="7:15" ht="16" x14ac:dyDescent="0.35">
      <c r="G540" s="65"/>
      <c r="H540" s="25"/>
      <c r="I540" s="35"/>
      <c r="J540" s="35"/>
      <c r="K540" s="23"/>
      <c r="L540" s="35"/>
      <c r="M540" s="23">
        <f t="shared" si="20"/>
        <v>0</v>
      </c>
      <c r="N540" s="23">
        <v>0</v>
      </c>
      <c r="O540" s="56">
        <f t="shared" si="21"/>
        <v>835</v>
      </c>
    </row>
    <row r="541" spans="7:15" ht="16" x14ac:dyDescent="0.35">
      <c r="G541" s="65"/>
      <c r="H541" s="25"/>
      <c r="I541" s="35"/>
      <c r="J541" s="35"/>
      <c r="K541" s="23"/>
      <c r="L541" s="35"/>
      <c r="M541" s="23">
        <f t="shared" si="20"/>
        <v>0</v>
      </c>
      <c r="N541" s="23">
        <v>0</v>
      </c>
      <c r="O541" s="56">
        <f t="shared" si="21"/>
        <v>835</v>
      </c>
    </row>
    <row r="542" spans="7:15" ht="16" x14ac:dyDescent="0.35">
      <c r="G542" s="65"/>
      <c r="H542" s="25"/>
      <c r="I542" s="35"/>
      <c r="J542" s="35"/>
      <c r="K542" s="23"/>
      <c r="L542" s="35"/>
      <c r="M542" s="23">
        <f t="shared" si="20"/>
        <v>0</v>
      </c>
      <c r="N542" s="23">
        <v>0</v>
      </c>
      <c r="O542" s="56">
        <f t="shared" si="21"/>
        <v>835</v>
      </c>
    </row>
    <row r="543" spans="7:15" ht="16" x14ac:dyDescent="0.35">
      <c r="G543" s="65"/>
      <c r="H543" s="25"/>
      <c r="I543" s="35"/>
      <c r="J543" s="35"/>
      <c r="K543" s="23"/>
      <c r="L543" s="35"/>
      <c r="M543" s="23">
        <f t="shared" si="20"/>
        <v>0</v>
      </c>
      <c r="N543" s="23">
        <v>0</v>
      </c>
      <c r="O543" s="56">
        <f t="shared" si="21"/>
        <v>835</v>
      </c>
    </row>
    <row r="544" spans="7:15" ht="16" x14ac:dyDescent="0.35">
      <c r="G544" s="65"/>
      <c r="H544" s="25"/>
      <c r="I544" s="35"/>
      <c r="J544" s="35"/>
      <c r="K544" s="23"/>
      <c r="L544" s="35"/>
      <c r="M544" s="23">
        <f t="shared" si="20"/>
        <v>0</v>
      </c>
      <c r="N544" s="23">
        <v>0</v>
      </c>
      <c r="O544" s="56">
        <f t="shared" si="21"/>
        <v>835</v>
      </c>
    </row>
    <row r="545" spans="7:15" ht="16" x14ac:dyDescent="0.35">
      <c r="G545" s="65"/>
      <c r="H545" s="25"/>
      <c r="I545" s="35"/>
      <c r="J545" s="35"/>
      <c r="K545" s="23"/>
      <c r="L545" s="35"/>
      <c r="M545" s="23">
        <f t="shared" si="20"/>
        <v>0</v>
      </c>
      <c r="N545" s="23">
        <v>0</v>
      </c>
      <c r="O545" s="56">
        <f t="shared" si="21"/>
        <v>835</v>
      </c>
    </row>
    <row r="546" spans="7:15" ht="16" x14ac:dyDescent="0.35">
      <c r="G546" s="65"/>
      <c r="H546" s="25"/>
      <c r="I546" s="35"/>
      <c r="J546" s="35"/>
      <c r="K546" s="23"/>
      <c r="L546" s="35"/>
      <c r="M546" s="23">
        <f t="shared" si="20"/>
        <v>0</v>
      </c>
      <c r="N546" s="23">
        <v>0</v>
      </c>
      <c r="O546" s="56">
        <f t="shared" si="21"/>
        <v>835</v>
      </c>
    </row>
    <row r="547" spans="7:15" ht="16" x14ac:dyDescent="0.35">
      <c r="G547" s="65"/>
      <c r="H547" s="25"/>
      <c r="I547" s="35"/>
      <c r="J547" s="35"/>
      <c r="K547" s="23"/>
      <c r="L547" s="35"/>
      <c r="M547" s="23">
        <f t="shared" si="20"/>
        <v>0</v>
      </c>
      <c r="N547" s="23">
        <v>0</v>
      </c>
      <c r="O547" s="56">
        <f t="shared" si="21"/>
        <v>835</v>
      </c>
    </row>
    <row r="548" spans="7:15" ht="16" x14ac:dyDescent="0.35">
      <c r="G548" s="65"/>
      <c r="H548" s="25"/>
      <c r="I548" s="35"/>
      <c r="J548" s="35"/>
      <c r="K548" s="23"/>
      <c r="L548" s="35"/>
      <c r="M548" s="23">
        <f t="shared" si="20"/>
        <v>0</v>
      </c>
      <c r="N548" s="23">
        <v>0</v>
      </c>
      <c r="O548" s="56">
        <f t="shared" si="21"/>
        <v>835</v>
      </c>
    </row>
    <row r="549" spans="7:15" ht="16" x14ac:dyDescent="0.35">
      <c r="G549" s="65"/>
      <c r="H549" s="25"/>
      <c r="I549" s="35"/>
      <c r="J549" s="35"/>
      <c r="K549" s="23"/>
      <c r="L549" s="35"/>
      <c r="M549" s="23">
        <f t="shared" si="20"/>
        <v>0</v>
      </c>
      <c r="N549" s="23">
        <v>0</v>
      </c>
      <c r="O549" s="56">
        <f t="shared" si="21"/>
        <v>835</v>
      </c>
    </row>
    <row r="550" spans="7:15" ht="16" x14ac:dyDescent="0.35">
      <c r="G550" s="65"/>
      <c r="H550" s="25"/>
      <c r="I550" s="35"/>
      <c r="J550" s="35"/>
      <c r="K550" s="23"/>
      <c r="L550" s="35"/>
      <c r="M550" s="23">
        <f t="shared" si="20"/>
        <v>0</v>
      </c>
      <c r="N550" s="23">
        <v>0</v>
      </c>
      <c r="O550" s="56">
        <f t="shared" si="21"/>
        <v>835</v>
      </c>
    </row>
    <row r="551" spans="7:15" ht="16" x14ac:dyDescent="0.35">
      <c r="G551" s="65"/>
      <c r="H551" s="25"/>
      <c r="I551" s="35"/>
      <c r="J551" s="35"/>
      <c r="K551" s="23"/>
      <c r="L551" s="35"/>
      <c r="M551" s="23">
        <f t="shared" si="20"/>
        <v>0</v>
      </c>
      <c r="N551" s="23">
        <v>0</v>
      </c>
      <c r="O551" s="56">
        <f t="shared" si="21"/>
        <v>835</v>
      </c>
    </row>
    <row r="552" spans="7:15" ht="16" x14ac:dyDescent="0.35">
      <c r="G552" s="65"/>
      <c r="H552" s="25"/>
      <c r="I552" s="35"/>
      <c r="J552" s="35"/>
      <c r="K552" s="23"/>
      <c r="L552" s="35"/>
      <c r="M552" s="23">
        <f t="shared" si="20"/>
        <v>0</v>
      </c>
      <c r="N552" s="23">
        <v>0</v>
      </c>
      <c r="O552" s="56">
        <f t="shared" si="21"/>
        <v>835</v>
      </c>
    </row>
    <row r="553" spans="7:15" ht="16" x14ac:dyDescent="0.35">
      <c r="G553" s="65"/>
      <c r="H553" s="25"/>
      <c r="I553" s="35"/>
      <c r="J553" s="35"/>
      <c r="K553" s="23"/>
      <c r="L553" s="35"/>
      <c r="M553" s="23">
        <f t="shared" si="20"/>
        <v>0</v>
      </c>
      <c r="N553" s="23">
        <v>0</v>
      </c>
      <c r="O553" s="56">
        <f t="shared" si="21"/>
        <v>835</v>
      </c>
    </row>
    <row r="554" spans="7:15" ht="16" x14ac:dyDescent="0.35">
      <c r="G554" s="65"/>
      <c r="H554" s="25"/>
      <c r="I554" s="35"/>
      <c r="J554" s="35"/>
      <c r="K554" s="23"/>
      <c r="L554" s="35"/>
      <c r="M554" s="23">
        <f t="shared" si="20"/>
        <v>0</v>
      </c>
      <c r="N554" s="23">
        <v>0</v>
      </c>
      <c r="O554" s="56">
        <f t="shared" si="21"/>
        <v>835</v>
      </c>
    </row>
    <row r="555" spans="7:15" ht="16" x14ac:dyDescent="0.35">
      <c r="G555" s="65"/>
      <c r="H555" s="25"/>
      <c r="I555" s="35"/>
      <c r="J555" s="35"/>
      <c r="K555" s="23"/>
      <c r="L555" s="35"/>
      <c r="M555" s="23">
        <f t="shared" si="20"/>
        <v>0</v>
      </c>
      <c r="N555" s="23">
        <v>0</v>
      </c>
      <c r="O555" s="56">
        <f t="shared" si="21"/>
        <v>835</v>
      </c>
    </row>
    <row r="556" spans="7:15" ht="16" x14ac:dyDescent="0.35">
      <c r="G556" s="65"/>
      <c r="H556" s="25"/>
      <c r="I556" s="35"/>
      <c r="J556" s="35"/>
      <c r="K556" s="23"/>
      <c r="L556" s="35"/>
      <c r="M556" s="23">
        <f t="shared" si="20"/>
        <v>0</v>
      </c>
      <c r="N556" s="23">
        <v>0</v>
      </c>
      <c r="O556" s="56">
        <f t="shared" si="21"/>
        <v>835</v>
      </c>
    </row>
    <row r="557" spans="7:15" ht="16.5" thickBot="1" x14ac:dyDescent="0.4">
      <c r="G557" s="66"/>
      <c r="H557" s="37"/>
      <c r="I557" s="38"/>
      <c r="J557" s="38"/>
      <c r="K557" s="27"/>
      <c r="L557" s="38"/>
      <c r="M557" s="27">
        <f t="shared" si="20"/>
        <v>0</v>
      </c>
      <c r="N557" s="27">
        <v>0</v>
      </c>
      <c r="O557" s="60">
        <f t="shared" si="21"/>
        <v>835</v>
      </c>
    </row>
    <row r="558" spans="7:15" ht="16.5" thickBot="1" x14ac:dyDescent="0.4">
      <c r="H558" s="39"/>
      <c r="I558" s="39"/>
      <c r="J558" s="39"/>
      <c r="K558" s="39"/>
      <c r="L558" s="39"/>
      <c r="M558" s="30">
        <f>SUM(M502:M557)</f>
        <v>0</v>
      </c>
      <c r="N558" s="30">
        <f>SUM(N502:N557)</f>
        <v>0</v>
      </c>
      <c r="O558" s="42">
        <f>O557</f>
        <v>835</v>
      </c>
    </row>
    <row r="560" spans="7:15" ht="15" thickBot="1" x14ac:dyDescent="0.4"/>
    <row r="561" spans="7:18" ht="30.5" customHeight="1" thickBot="1" x14ac:dyDescent="0.4">
      <c r="H561" s="61" t="s">
        <v>61</v>
      </c>
      <c r="I561" s="62"/>
      <c r="J561" s="62"/>
      <c r="K561" s="62"/>
      <c r="L561" s="62"/>
      <c r="M561" s="62"/>
      <c r="N561" s="62"/>
      <c r="O561" s="63"/>
    </row>
    <row r="562" spans="7:18" ht="27.5" customHeight="1" x14ac:dyDescent="0.35">
      <c r="G562" s="70" t="s">
        <v>62</v>
      </c>
      <c r="H562" s="57" t="s">
        <v>11</v>
      </c>
      <c r="I562" s="58" t="s">
        <v>12</v>
      </c>
      <c r="J562" s="58" t="s">
        <v>33</v>
      </c>
      <c r="K562" s="58" t="s">
        <v>34</v>
      </c>
      <c r="L562" s="58" t="s">
        <v>43</v>
      </c>
      <c r="M562" s="58" t="s">
        <v>2</v>
      </c>
      <c r="N562" s="58" t="s">
        <v>1</v>
      </c>
      <c r="O562" s="59" t="s">
        <v>9</v>
      </c>
    </row>
    <row r="563" spans="7:18" ht="16" x14ac:dyDescent="0.35">
      <c r="G563" s="65"/>
      <c r="H563" s="54"/>
      <c r="I563" s="55"/>
      <c r="J563" s="55"/>
      <c r="K563" s="15"/>
      <c r="L563" s="55"/>
      <c r="M563" s="15">
        <f>K563*I563</f>
        <v>0</v>
      </c>
      <c r="N563" s="15">
        <v>0</v>
      </c>
      <c r="O563" s="56">
        <f>O558+M563-N563</f>
        <v>835</v>
      </c>
    </row>
    <row r="564" spans="7:18" ht="16" x14ac:dyDescent="0.35">
      <c r="G564" s="65"/>
      <c r="H564" s="54"/>
      <c r="I564" s="35"/>
      <c r="J564" s="35"/>
      <c r="K564" s="23"/>
      <c r="L564" s="35"/>
      <c r="M564" s="23">
        <f t="shared" ref="M564:M618" si="22">K564*I564</f>
        <v>0</v>
      </c>
      <c r="N564" s="23">
        <v>0</v>
      </c>
      <c r="O564" s="56">
        <f>O563+M564-N564</f>
        <v>835</v>
      </c>
    </row>
    <row r="565" spans="7:18" ht="16" x14ac:dyDescent="0.35">
      <c r="G565" s="65"/>
      <c r="H565" s="54"/>
      <c r="I565" s="35"/>
      <c r="J565" s="35"/>
      <c r="K565" s="23"/>
      <c r="L565" s="35"/>
      <c r="M565" s="23">
        <f t="shared" si="22"/>
        <v>0</v>
      </c>
      <c r="N565" s="23">
        <v>0</v>
      </c>
      <c r="O565" s="56">
        <f t="shared" ref="O565:O618" si="23">O564+M565-N565</f>
        <v>835</v>
      </c>
    </row>
    <row r="566" spans="7:18" ht="16.5" thickBot="1" x14ac:dyDescent="0.4">
      <c r="G566" s="65"/>
      <c r="H566" s="54"/>
      <c r="I566" s="35"/>
      <c r="J566" s="35"/>
      <c r="K566" s="23"/>
      <c r="L566" s="35"/>
      <c r="M566" s="23">
        <f t="shared" si="22"/>
        <v>0</v>
      </c>
      <c r="N566" s="23">
        <v>0</v>
      </c>
      <c r="O566" s="56">
        <f t="shared" si="23"/>
        <v>835</v>
      </c>
    </row>
    <row r="567" spans="7:18" ht="16.5" thickBot="1" x14ac:dyDescent="0.4">
      <c r="G567" s="65"/>
      <c r="H567" s="54"/>
      <c r="I567" s="35"/>
      <c r="J567" s="35"/>
      <c r="K567" s="23"/>
      <c r="L567" s="35"/>
      <c r="M567" s="23">
        <f t="shared" si="22"/>
        <v>0</v>
      </c>
      <c r="N567" s="23">
        <v>0</v>
      </c>
      <c r="O567" s="56">
        <f t="shared" si="23"/>
        <v>835</v>
      </c>
      <c r="Q567" s="80" t="s">
        <v>74</v>
      </c>
      <c r="R567" s="81"/>
    </row>
    <row r="568" spans="7:18" ht="16" x14ac:dyDescent="0.35">
      <c r="G568" s="65"/>
      <c r="H568" s="54"/>
      <c r="I568" s="35"/>
      <c r="J568" s="35"/>
      <c r="K568" s="23"/>
      <c r="L568" s="35"/>
      <c r="M568" s="23">
        <f t="shared" si="22"/>
        <v>0</v>
      </c>
      <c r="N568" s="23">
        <v>0</v>
      </c>
      <c r="O568" s="56">
        <f t="shared" si="23"/>
        <v>835</v>
      </c>
      <c r="Q568" s="72" t="s">
        <v>25</v>
      </c>
      <c r="R568" s="73"/>
    </row>
    <row r="569" spans="7:18" ht="16" x14ac:dyDescent="0.35">
      <c r="G569" s="65"/>
      <c r="H569" s="54"/>
      <c r="I569" s="35"/>
      <c r="J569" s="35"/>
      <c r="K569" s="23"/>
      <c r="L569" s="35"/>
      <c r="M569" s="23">
        <f t="shared" si="22"/>
        <v>0</v>
      </c>
      <c r="N569" s="23">
        <v>0</v>
      </c>
      <c r="O569" s="56">
        <f t="shared" si="23"/>
        <v>835</v>
      </c>
      <c r="Q569" s="74" t="s">
        <v>36</v>
      </c>
      <c r="R569" s="75"/>
    </row>
    <row r="570" spans="7:18" ht="16" x14ac:dyDescent="0.35">
      <c r="G570" s="65"/>
      <c r="H570" s="54"/>
      <c r="I570" s="35"/>
      <c r="J570" s="35"/>
      <c r="K570" s="23"/>
      <c r="L570" s="35"/>
      <c r="M570" s="23">
        <f t="shared" si="22"/>
        <v>0</v>
      </c>
      <c r="N570" s="23">
        <v>0</v>
      </c>
      <c r="O570" s="56">
        <f t="shared" si="23"/>
        <v>835</v>
      </c>
      <c r="Q570" s="74" t="s">
        <v>37</v>
      </c>
      <c r="R570" s="75"/>
    </row>
    <row r="571" spans="7:18" ht="16.5" thickBot="1" x14ac:dyDescent="0.4">
      <c r="G571" s="65"/>
      <c r="H571" s="44"/>
      <c r="I571" s="35"/>
      <c r="J571" s="35"/>
      <c r="K571" s="23"/>
      <c r="L571" s="35"/>
      <c r="M571" s="23">
        <f t="shared" si="22"/>
        <v>0</v>
      </c>
      <c r="N571" s="23">
        <v>0</v>
      </c>
      <c r="O571" s="56">
        <f t="shared" si="23"/>
        <v>835</v>
      </c>
      <c r="Q571" s="76" t="s">
        <v>26</v>
      </c>
      <c r="R571" s="77"/>
    </row>
    <row r="572" spans="7:18" ht="16.5" thickBot="1" x14ac:dyDescent="0.4">
      <c r="G572" s="65"/>
      <c r="H572" s="44"/>
      <c r="I572" s="35"/>
      <c r="J572" s="35"/>
      <c r="K572" s="23"/>
      <c r="L572" s="35"/>
      <c r="M572" s="23">
        <f t="shared" si="22"/>
        <v>0</v>
      </c>
      <c r="N572" s="23">
        <v>0</v>
      </c>
      <c r="O572" s="56">
        <f t="shared" si="23"/>
        <v>835</v>
      </c>
      <c r="Q572" s="78" t="s">
        <v>63</v>
      </c>
      <c r="R572" s="79">
        <f>SUM(R568:R571)</f>
        <v>0</v>
      </c>
    </row>
    <row r="573" spans="7:18" ht="16" x14ac:dyDescent="0.35">
      <c r="G573" s="65"/>
      <c r="H573" s="44"/>
      <c r="I573" s="35"/>
      <c r="J573" s="35"/>
      <c r="K573" s="23"/>
      <c r="L573" s="35"/>
      <c r="M573" s="23">
        <f t="shared" si="22"/>
        <v>0</v>
      </c>
      <c r="N573" s="23">
        <v>0</v>
      </c>
      <c r="O573" s="56">
        <f t="shared" si="23"/>
        <v>835</v>
      </c>
    </row>
    <row r="574" spans="7:18" ht="16" x14ac:dyDescent="0.35">
      <c r="G574" s="65"/>
      <c r="H574" s="44"/>
      <c r="I574" s="35"/>
      <c r="J574" s="35"/>
      <c r="K574" s="23"/>
      <c r="L574" s="35"/>
      <c r="M574" s="23">
        <f t="shared" si="22"/>
        <v>0</v>
      </c>
      <c r="N574" s="23">
        <v>0</v>
      </c>
      <c r="O574" s="56">
        <f t="shared" si="23"/>
        <v>835</v>
      </c>
    </row>
    <row r="575" spans="7:18" ht="16" x14ac:dyDescent="0.35">
      <c r="G575" s="65"/>
      <c r="H575" s="44"/>
      <c r="I575" s="35"/>
      <c r="J575" s="35"/>
      <c r="K575" s="23"/>
      <c r="L575" s="35"/>
      <c r="M575" s="23">
        <f t="shared" si="22"/>
        <v>0</v>
      </c>
      <c r="N575" s="23">
        <v>0</v>
      </c>
      <c r="O575" s="56">
        <f t="shared" si="23"/>
        <v>835</v>
      </c>
    </row>
    <row r="576" spans="7:18" ht="16" x14ac:dyDescent="0.35">
      <c r="G576" s="65"/>
      <c r="H576" s="44"/>
      <c r="I576" s="35"/>
      <c r="J576" s="35"/>
      <c r="K576" s="23"/>
      <c r="L576" s="35"/>
      <c r="M576" s="23">
        <f t="shared" si="22"/>
        <v>0</v>
      </c>
      <c r="N576" s="23">
        <v>0</v>
      </c>
      <c r="O576" s="56">
        <f t="shared" si="23"/>
        <v>835</v>
      </c>
    </row>
    <row r="577" spans="7:15" ht="16" x14ac:dyDescent="0.35">
      <c r="G577" s="65"/>
      <c r="H577" s="44"/>
      <c r="I577" s="35"/>
      <c r="J577" s="35"/>
      <c r="K577" s="23"/>
      <c r="L577" s="35"/>
      <c r="M577" s="23">
        <f t="shared" si="22"/>
        <v>0</v>
      </c>
      <c r="N577" s="23">
        <v>0</v>
      </c>
      <c r="O577" s="56">
        <f t="shared" si="23"/>
        <v>835</v>
      </c>
    </row>
    <row r="578" spans="7:15" ht="16" x14ac:dyDescent="0.35">
      <c r="G578" s="65"/>
      <c r="H578" s="44"/>
      <c r="I578" s="35"/>
      <c r="J578" s="35"/>
      <c r="K578" s="23"/>
      <c r="L578" s="35"/>
      <c r="M578" s="23">
        <f t="shared" si="22"/>
        <v>0</v>
      </c>
      <c r="N578" s="23">
        <v>0</v>
      </c>
      <c r="O578" s="56">
        <f t="shared" si="23"/>
        <v>835</v>
      </c>
    </row>
    <row r="579" spans="7:15" ht="16" x14ac:dyDescent="0.35">
      <c r="G579" s="65"/>
      <c r="H579" s="44"/>
      <c r="I579" s="35"/>
      <c r="J579" s="35"/>
      <c r="K579" s="23"/>
      <c r="L579" s="35"/>
      <c r="M579" s="23">
        <f t="shared" si="22"/>
        <v>0</v>
      </c>
      <c r="N579" s="23">
        <v>0</v>
      </c>
      <c r="O579" s="56">
        <f t="shared" si="23"/>
        <v>835</v>
      </c>
    </row>
    <row r="580" spans="7:15" ht="16" x14ac:dyDescent="0.35">
      <c r="G580" s="65"/>
      <c r="H580" s="25"/>
      <c r="I580" s="35"/>
      <c r="J580" s="35"/>
      <c r="K580" s="23"/>
      <c r="L580" s="35"/>
      <c r="M580" s="23">
        <f t="shared" si="22"/>
        <v>0</v>
      </c>
      <c r="N580" s="23">
        <v>0</v>
      </c>
      <c r="O580" s="56">
        <f t="shared" si="23"/>
        <v>835</v>
      </c>
    </row>
    <row r="581" spans="7:15" ht="16" x14ac:dyDescent="0.35">
      <c r="G581" s="65"/>
      <c r="H581" s="25"/>
      <c r="I581" s="35"/>
      <c r="J581" s="35"/>
      <c r="K581" s="23"/>
      <c r="L581" s="35"/>
      <c r="M581" s="23">
        <f t="shared" si="22"/>
        <v>0</v>
      </c>
      <c r="N581" s="23">
        <v>0</v>
      </c>
      <c r="O581" s="56">
        <f t="shared" si="23"/>
        <v>835</v>
      </c>
    </row>
    <row r="582" spans="7:15" ht="16" x14ac:dyDescent="0.35">
      <c r="G582" s="65"/>
      <c r="H582" s="25"/>
      <c r="I582" s="35"/>
      <c r="J582" s="35"/>
      <c r="K582" s="23"/>
      <c r="L582" s="35"/>
      <c r="M582" s="23">
        <f t="shared" si="22"/>
        <v>0</v>
      </c>
      <c r="N582" s="23">
        <v>0</v>
      </c>
      <c r="O582" s="56">
        <f t="shared" si="23"/>
        <v>835</v>
      </c>
    </row>
    <row r="583" spans="7:15" ht="16" x14ac:dyDescent="0.35">
      <c r="G583" s="65"/>
      <c r="H583" s="25"/>
      <c r="I583" s="35"/>
      <c r="J583" s="35"/>
      <c r="K583" s="23"/>
      <c r="L583" s="35"/>
      <c r="M583" s="23">
        <f t="shared" si="22"/>
        <v>0</v>
      </c>
      <c r="N583" s="23">
        <v>0</v>
      </c>
      <c r="O583" s="56">
        <f t="shared" si="23"/>
        <v>835</v>
      </c>
    </row>
    <row r="584" spans="7:15" ht="16" x14ac:dyDescent="0.35">
      <c r="G584" s="65"/>
      <c r="H584" s="25"/>
      <c r="I584" s="35"/>
      <c r="J584" s="35"/>
      <c r="K584" s="23"/>
      <c r="L584" s="35"/>
      <c r="M584" s="23">
        <f t="shared" si="22"/>
        <v>0</v>
      </c>
      <c r="N584" s="23">
        <v>0</v>
      </c>
      <c r="O584" s="56">
        <f t="shared" si="23"/>
        <v>835</v>
      </c>
    </row>
    <row r="585" spans="7:15" ht="16" x14ac:dyDescent="0.35">
      <c r="G585" s="65"/>
      <c r="H585" s="25"/>
      <c r="I585" s="35"/>
      <c r="J585" s="35"/>
      <c r="K585" s="23"/>
      <c r="L585" s="35"/>
      <c r="M585" s="23">
        <f t="shared" si="22"/>
        <v>0</v>
      </c>
      <c r="N585" s="23">
        <v>0</v>
      </c>
      <c r="O585" s="56">
        <f t="shared" si="23"/>
        <v>835</v>
      </c>
    </row>
    <row r="586" spans="7:15" ht="16" x14ac:dyDescent="0.35">
      <c r="G586" s="65"/>
      <c r="H586" s="25"/>
      <c r="I586" s="35"/>
      <c r="J586" s="35"/>
      <c r="K586" s="23"/>
      <c r="L586" s="35"/>
      <c r="M586" s="23">
        <f t="shared" si="22"/>
        <v>0</v>
      </c>
      <c r="N586" s="23">
        <v>0</v>
      </c>
      <c r="O586" s="56">
        <f t="shared" si="23"/>
        <v>835</v>
      </c>
    </row>
    <row r="587" spans="7:15" ht="16" x14ac:dyDescent="0.35">
      <c r="G587" s="65"/>
      <c r="H587" s="25"/>
      <c r="I587" s="35"/>
      <c r="J587" s="35"/>
      <c r="K587" s="23"/>
      <c r="L587" s="35"/>
      <c r="M587" s="23">
        <f t="shared" si="22"/>
        <v>0</v>
      </c>
      <c r="N587" s="23">
        <v>0</v>
      </c>
      <c r="O587" s="56">
        <f t="shared" si="23"/>
        <v>835</v>
      </c>
    </row>
    <row r="588" spans="7:15" ht="16" x14ac:dyDescent="0.35">
      <c r="G588" s="65"/>
      <c r="H588" s="25"/>
      <c r="I588" s="35"/>
      <c r="J588" s="35"/>
      <c r="K588" s="23"/>
      <c r="L588" s="35"/>
      <c r="M588" s="23">
        <f t="shared" si="22"/>
        <v>0</v>
      </c>
      <c r="N588" s="23">
        <v>0</v>
      </c>
      <c r="O588" s="56">
        <f t="shared" si="23"/>
        <v>835</v>
      </c>
    </row>
    <row r="589" spans="7:15" ht="16" x14ac:dyDescent="0.35">
      <c r="G589" s="65"/>
      <c r="H589" s="25"/>
      <c r="I589" s="35"/>
      <c r="J589" s="35"/>
      <c r="K589" s="23"/>
      <c r="L589" s="35"/>
      <c r="M589" s="23">
        <f t="shared" si="22"/>
        <v>0</v>
      </c>
      <c r="N589" s="23">
        <v>0</v>
      </c>
      <c r="O589" s="56">
        <f t="shared" si="23"/>
        <v>835</v>
      </c>
    </row>
    <row r="590" spans="7:15" ht="16" x14ac:dyDescent="0.35">
      <c r="G590" s="65"/>
      <c r="H590" s="25"/>
      <c r="I590" s="35"/>
      <c r="J590" s="35"/>
      <c r="K590" s="23"/>
      <c r="L590" s="35"/>
      <c r="M590" s="23">
        <f t="shared" si="22"/>
        <v>0</v>
      </c>
      <c r="N590" s="23">
        <v>0</v>
      </c>
      <c r="O590" s="56">
        <f t="shared" si="23"/>
        <v>835</v>
      </c>
    </row>
    <row r="591" spans="7:15" ht="16" x14ac:dyDescent="0.35">
      <c r="G591" s="65"/>
      <c r="H591" s="25"/>
      <c r="I591" s="35"/>
      <c r="J591" s="35"/>
      <c r="K591" s="23"/>
      <c r="L591" s="35"/>
      <c r="M591" s="23">
        <f t="shared" si="22"/>
        <v>0</v>
      </c>
      <c r="N591" s="23">
        <v>0</v>
      </c>
      <c r="O591" s="56">
        <f t="shared" si="23"/>
        <v>835</v>
      </c>
    </row>
    <row r="592" spans="7:15" ht="16" x14ac:dyDescent="0.35">
      <c r="G592" s="65"/>
      <c r="H592" s="25"/>
      <c r="I592" s="35"/>
      <c r="J592" s="35"/>
      <c r="K592" s="23"/>
      <c r="L592" s="35"/>
      <c r="M592" s="23">
        <f t="shared" si="22"/>
        <v>0</v>
      </c>
      <c r="N592" s="23">
        <v>0</v>
      </c>
      <c r="O592" s="56">
        <f t="shared" si="23"/>
        <v>835</v>
      </c>
    </row>
    <row r="593" spans="7:15" ht="16" x14ac:dyDescent="0.35">
      <c r="G593" s="65"/>
      <c r="H593" s="25"/>
      <c r="I593" s="35"/>
      <c r="J593" s="35"/>
      <c r="K593" s="23"/>
      <c r="L593" s="35"/>
      <c r="M593" s="23">
        <f t="shared" si="22"/>
        <v>0</v>
      </c>
      <c r="N593" s="23">
        <v>0</v>
      </c>
      <c r="O593" s="56">
        <f t="shared" si="23"/>
        <v>835</v>
      </c>
    </row>
    <row r="594" spans="7:15" ht="16" x14ac:dyDescent="0.35">
      <c r="G594" s="65"/>
      <c r="H594" s="25"/>
      <c r="I594" s="35"/>
      <c r="J594" s="35"/>
      <c r="K594" s="23"/>
      <c r="L594" s="35"/>
      <c r="M594" s="23">
        <f t="shared" si="22"/>
        <v>0</v>
      </c>
      <c r="N594" s="23">
        <v>0</v>
      </c>
      <c r="O594" s="56">
        <f t="shared" si="23"/>
        <v>835</v>
      </c>
    </row>
    <row r="595" spans="7:15" ht="16" x14ac:dyDescent="0.35">
      <c r="G595" s="65"/>
      <c r="H595" s="25"/>
      <c r="I595" s="35"/>
      <c r="J595" s="35"/>
      <c r="K595" s="23"/>
      <c r="L595" s="35"/>
      <c r="M595" s="23">
        <f t="shared" si="22"/>
        <v>0</v>
      </c>
      <c r="N595" s="23">
        <v>0</v>
      </c>
      <c r="O595" s="56">
        <f t="shared" si="23"/>
        <v>835</v>
      </c>
    </row>
    <row r="596" spans="7:15" ht="16" x14ac:dyDescent="0.35">
      <c r="G596" s="65"/>
      <c r="H596" s="25"/>
      <c r="I596" s="35"/>
      <c r="J596" s="35"/>
      <c r="K596" s="23"/>
      <c r="L596" s="35"/>
      <c r="M596" s="23">
        <f t="shared" si="22"/>
        <v>0</v>
      </c>
      <c r="N596" s="23">
        <v>0</v>
      </c>
      <c r="O596" s="56">
        <f t="shared" si="23"/>
        <v>835</v>
      </c>
    </row>
    <row r="597" spans="7:15" ht="16" x14ac:dyDescent="0.35">
      <c r="G597" s="65"/>
      <c r="H597" s="25"/>
      <c r="I597" s="35"/>
      <c r="J597" s="35"/>
      <c r="K597" s="23"/>
      <c r="L597" s="35"/>
      <c r="M597" s="23">
        <f t="shared" si="22"/>
        <v>0</v>
      </c>
      <c r="N597" s="23">
        <v>0</v>
      </c>
      <c r="O597" s="56">
        <f t="shared" si="23"/>
        <v>835</v>
      </c>
    </row>
    <row r="598" spans="7:15" ht="16" x14ac:dyDescent="0.35">
      <c r="G598" s="65"/>
      <c r="H598" s="25"/>
      <c r="I598" s="35"/>
      <c r="J598" s="35"/>
      <c r="K598" s="23"/>
      <c r="L598" s="35"/>
      <c r="M598" s="23">
        <f t="shared" si="22"/>
        <v>0</v>
      </c>
      <c r="N598" s="23">
        <v>0</v>
      </c>
      <c r="O598" s="56">
        <f t="shared" si="23"/>
        <v>835</v>
      </c>
    </row>
    <row r="599" spans="7:15" ht="16" x14ac:dyDescent="0.35">
      <c r="G599" s="65"/>
      <c r="H599" s="25"/>
      <c r="I599" s="35"/>
      <c r="J599" s="35"/>
      <c r="K599" s="23"/>
      <c r="L599" s="35"/>
      <c r="M599" s="23">
        <f t="shared" si="22"/>
        <v>0</v>
      </c>
      <c r="N599" s="23">
        <v>0</v>
      </c>
      <c r="O599" s="56">
        <f t="shared" si="23"/>
        <v>835</v>
      </c>
    </row>
    <row r="600" spans="7:15" ht="16" x14ac:dyDescent="0.35">
      <c r="G600" s="65"/>
      <c r="H600" s="25"/>
      <c r="I600" s="35"/>
      <c r="J600" s="35"/>
      <c r="K600" s="23"/>
      <c r="L600" s="35"/>
      <c r="M600" s="23">
        <f t="shared" si="22"/>
        <v>0</v>
      </c>
      <c r="N600" s="23">
        <v>0</v>
      </c>
      <c r="O600" s="56">
        <f t="shared" si="23"/>
        <v>835</v>
      </c>
    </row>
    <row r="601" spans="7:15" ht="16" x14ac:dyDescent="0.35">
      <c r="G601" s="65"/>
      <c r="H601" s="25"/>
      <c r="I601" s="35"/>
      <c r="J601" s="35"/>
      <c r="K601" s="23"/>
      <c r="L601" s="35"/>
      <c r="M601" s="23">
        <f t="shared" si="22"/>
        <v>0</v>
      </c>
      <c r="N601" s="23">
        <v>0</v>
      </c>
      <c r="O601" s="56">
        <f t="shared" si="23"/>
        <v>835</v>
      </c>
    </row>
    <row r="602" spans="7:15" ht="16" x14ac:dyDescent="0.35">
      <c r="G602" s="65"/>
      <c r="H602" s="25"/>
      <c r="I602" s="35"/>
      <c r="J602" s="35"/>
      <c r="K602" s="23"/>
      <c r="L602" s="35"/>
      <c r="M602" s="23">
        <f t="shared" si="22"/>
        <v>0</v>
      </c>
      <c r="N602" s="23">
        <v>0</v>
      </c>
      <c r="O602" s="56">
        <f t="shared" si="23"/>
        <v>835</v>
      </c>
    </row>
    <row r="603" spans="7:15" ht="16" x14ac:dyDescent="0.35">
      <c r="G603" s="65"/>
      <c r="H603" s="25"/>
      <c r="I603" s="35"/>
      <c r="J603" s="35"/>
      <c r="K603" s="23"/>
      <c r="L603" s="35"/>
      <c r="M603" s="23">
        <f t="shared" si="22"/>
        <v>0</v>
      </c>
      <c r="N603" s="23">
        <v>0</v>
      </c>
      <c r="O603" s="56">
        <f t="shared" si="23"/>
        <v>835</v>
      </c>
    </row>
    <row r="604" spans="7:15" ht="16" x14ac:dyDescent="0.35">
      <c r="G604" s="65"/>
      <c r="H604" s="25"/>
      <c r="I604" s="35"/>
      <c r="J604" s="35"/>
      <c r="K604" s="23"/>
      <c r="L604" s="35"/>
      <c r="M604" s="23">
        <f t="shared" si="22"/>
        <v>0</v>
      </c>
      <c r="N604" s="23">
        <v>0</v>
      </c>
      <c r="O604" s="56">
        <f t="shared" si="23"/>
        <v>835</v>
      </c>
    </row>
    <row r="605" spans="7:15" ht="16" x14ac:dyDescent="0.35">
      <c r="G605" s="65"/>
      <c r="H605" s="25"/>
      <c r="I605" s="35"/>
      <c r="J605" s="35"/>
      <c r="K605" s="23"/>
      <c r="L605" s="35"/>
      <c r="M605" s="23">
        <f t="shared" si="22"/>
        <v>0</v>
      </c>
      <c r="N605" s="23">
        <v>0</v>
      </c>
      <c r="O605" s="56">
        <f t="shared" si="23"/>
        <v>835</v>
      </c>
    </row>
    <row r="606" spans="7:15" ht="16" x14ac:dyDescent="0.35">
      <c r="G606" s="65"/>
      <c r="H606" s="25"/>
      <c r="I606" s="35"/>
      <c r="J606" s="35"/>
      <c r="K606" s="23"/>
      <c r="L606" s="35"/>
      <c r="M606" s="23">
        <f t="shared" si="22"/>
        <v>0</v>
      </c>
      <c r="N606" s="23">
        <v>0</v>
      </c>
      <c r="O606" s="56">
        <f t="shared" si="23"/>
        <v>835</v>
      </c>
    </row>
    <row r="607" spans="7:15" ht="16" x14ac:dyDescent="0.35">
      <c r="G607" s="65"/>
      <c r="H607" s="25"/>
      <c r="I607" s="35"/>
      <c r="J607" s="35"/>
      <c r="K607" s="23"/>
      <c r="L607" s="35"/>
      <c r="M607" s="23">
        <f t="shared" si="22"/>
        <v>0</v>
      </c>
      <c r="N607" s="23">
        <v>0</v>
      </c>
      <c r="O607" s="56">
        <f t="shared" si="23"/>
        <v>835</v>
      </c>
    </row>
    <row r="608" spans="7:15" ht="16" x14ac:dyDescent="0.35">
      <c r="G608" s="65"/>
      <c r="H608" s="25"/>
      <c r="I608" s="35"/>
      <c r="J608" s="35"/>
      <c r="K608" s="23"/>
      <c r="L608" s="35"/>
      <c r="M608" s="23">
        <f t="shared" si="22"/>
        <v>0</v>
      </c>
      <c r="N608" s="23">
        <v>0</v>
      </c>
      <c r="O608" s="56">
        <f t="shared" si="23"/>
        <v>835</v>
      </c>
    </row>
    <row r="609" spans="7:15" ht="16" x14ac:dyDescent="0.35">
      <c r="G609" s="65"/>
      <c r="H609" s="25"/>
      <c r="I609" s="35"/>
      <c r="J609" s="35"/>
      <c r="K609" s="23"/>
      <c r="L609" s="35"/>
      <c r="M609" s="23">
        <f t="shared" si="22"/>
        <v>0</v>
      </c>
      <c r="N609" s="23">
        <v>0</v>
      </c>
      <c r="O609" s="56">
        <f t="shared" si="23"/>
        <v>835</v>
      </c>
    </row>
    <row r="610" spans="7:15" ht="16" x14ac:dyDescent="0.35">
      <c r="G610" s="65"/>
      <c r="H610" s="25"/>
      <c r="I610" s="35"/>
      <c r="J610" s="35"/>
      <c r="K610" s="23"/>
      <c r="L610" s="35"/>
      <c r="M610" s="23">
        <f t="shared" si="22"/>
        <v>0</v>
      </c>
      <c r="N610" s="23">
        <v>0</v>
      </c>
      <c r="O610" s="56">
        <f t="shared" si="23"/>
        <v>835</v>
      </c>
    </row>
    <row r="611" spans="7:15" ht="16" x14ac:dyDescent="0.35">
      <c r="G611" s="65"/>
      <c r="H611" s="25"/>
      <c r="I611" s="35"/>
      <c r="J611" s="35"/>
      <c r="K611" s="23"/>
      <c r="L611" s="35"/>
      <c r="M611" s="23">
        <f t="shared" si="22"/>
        <v>0</v>
      </c>
      <c r="N611" s="23">
        <v>0</v>
      </c>
      <c r="O611" s="56">
        <f t="shared" si="23"/>
        <v>835</v>
      </c>
    </row>
    <row r="612" spans="7:15" ht="16" x14ac:dyDescent="0.35">
      <c r="G612" s="65"/>
      <c r="H612" s="25"/>
      <c r="I612" s="35"/>
      <c r="J612" s="35"/>
      <c r="K612" s="23"/>
      <c r="L612" s="35"/>
      <c r="M612" s="23">
        <f t="shared" si="22"/>
        <v>0</v>
      </c>
      <c r="N612" s="23">
        <v>0</v>
      </c>
      <c r="O612" s="56">
        <f t="shared" si="23"/>
        <v>835</v>
      </c>
    </row>
    <row r="613" spans="7:15" ht="16" x14ac:dyDescent="0.35">
      <c r="G613" s="65"/>
      <c r="H613" s="25"/>
      <c r="I613" s="35"/>
      <c r="J613" s="35"/>
      <c r="K613" s="23"/>
      <c r="L613" s="35"/>
      <c r="M613" s="23">
        <f t="shared" si="22"/>
        <v>0</v>
      </c>
      <c r="N613" s="23">
        <v>0</v>
      </c>
      <c r="O613" s="56">
        <f t="shared" si="23"/>
        <v>835</v>
      </c>
    </row>
    <row r="614" spans="7:15" ht="16" x14ac:dyDescent="0.35">
      <c r="G614" s="65"/>
      <c r="H614" s="25"/>
      <c r="I614" s="35"/>
      <c r="J614" s="35"/>
      <c r="K614" s="23"/>
      <c r="L614" s="35"/>
      <c r="M614" s="23">
        <f t="shared" si="22"/>
        <v>0</v>
      </c>
      <c r="N614" s="23">
        <v>0</v>
      </c>
      <c r="O614" s="56">
        <f t="shared" si="23"/>
        <v>835</v>
      </c>
    </row>
    <row r="615" spans="7:15" ht="16" x14ac:dyDescent="0.35">
      <c r="G615" s="65"/>
      <c r="H615" s="25"/>
      <c r="I615" s="35"/>
      <c r="J615" s="35"/>
      <c r="K615" s="23"/>
      <c r="L615" s="35"/>
      <c r="M615" s="23">
        <f t="shared" si="22"/>
        <v>0</v>
      </c>
      <c r="N615" s="23">
        <v>0</v>
      </c>
      <c r="O615" s="56">
        <f t="shared" si="23"/>
        <v>835</v>
      </c>
    </row>
    <row r="616" spans="7:15" ht="16" x14ac:dyDescent="0.35">
      <c r="G616" s="65"/>
      <c r="H616" s="25"/>
      <c r="I616" s="35"/>
      <c r="J616" s="35"/>
      <c r="K616" s="23"/>
      <c r="L616" s="35"/>
      <c r="M616" s="23">
        <f t="shared" si="22"/>
        <v>0</v>
      </c>
      <c r="N616" s="23">
        <v>0</v>
      </c>
      <c r="O616" s="56">
        <f t="shared" si="23"/>
        <v>835</v>
      </c>
    </row>
    <row r="617" spans="7:15" ht="16" x14ac:dyDescent="0.35">
      <c r="G617" s="65"/>
      <c r="H617" s="25"/>
      <c r="I617" s="35"/>
      <c r="J617" s="35"/>
      <c r="K617" s="23"/>
      <c r="L617" s="35"/>
      <c r="M617" s="23">
        <f t="shared" si="22"/>
        <v>0</v>
      </c>
      <c r="N617" s="23">
        <v>0</v>
      </c>
      <c r="O617" s="56">
        <f t="shared" si="23"/>
        <v>835</v>
      </c>
    </row>
    <row r="618" spans="7:15" ht="16.5" thickBot="1" x14ac:dyDescent="0.4">
      <c r="G618" s="66"/>
      <c r="H618" s="37"/>
      <c r="I618" s="38"/>
      <c r="J618" s="38"/>
      <c r="K618" s="27"/>
      <c r="L618" s="38"/>
      <c r="M618" s="27">
        <f t="shared" si="22"/>
        <v>0</v>
      </c>
      <c r="N618" s="27">
        <v>0</v>
      </c>
      <c r="O618" s="60">
        <f t="shared" si="23"/>
        <v>835</v>
      </c>
    </row>
    <row r="619" spans="7:15" ht="16.5" thickBot="1" x14ac:dyDescent="0.4">
      <c r="H619" s="39"/>
      <c r="I619" s="39"/>
      <c r="J619" s="39"/>
      <c r="K619" s="39"/>
      <c r="L619" s="39"/>
      <c r="M619" s="30">
        <f>SUM(M563:M618)</f>
        <v>0</v>
      </c>
      <c r="N619" s="30">
        <f>SUM(N563:N618)</f>
        <v>0</v>
      </c>
      <c r="O619" s="42">
        <f>O618</f>
        <v>835</v>
      </c>
    </row>
  </sheetData>
  <autoFilter ref="H2:O25" xr:uid="{9790A859-5FFC-4740-9EDE-6734F2B6A5D5}"/>
  <mergeCells count="34">
    <mergeCell ref="H500:O500"/>
    <mergeCell ref="G501:G557"/>
    <mergeCell ref="H561:O561"/>
    <mergeCell ref="G562:G618"/>
    <mergeCell ref="Q5:R5"/>
    <mergeCell ref="Q31:R31"/>
    <mergeCell ref="Q97:R97"/>
    <mergeCell ref="Q141:R141"/>
    <mergeCell ref="Q209:R209"/>
    <mergeCell ref="Q262:R262"/>
    <mergeCell ref="Q324:R324"/>
    <mergeCell ref="Q382:R382"/>
    <mergeCell ref="Q444:R444"/>
    <mergeCell ref="Q507:R507"/>
    <mergeCell ref="Q567:R567"/>
    <mergeCell ref="G318:G374"/>
    <mergeCell ref="H378:O378"/>
    <mergeCell ref="G379:G435"/>
    <mergeCell ref="H439:O439"/>
    <mergeCell ref="G440:G496"/>
    <mergeCell ref="H195:O195"/>
    <mergeCell ref="G196:G252"/>
    <mergeCell ref="H256:O256"/>
    <mergeCell ref="G257:G313"/>
    <mergeCell ref="H317:O317"/>
    <mergeCell ref="H133:O133"/>
    <mergeCell ref="B1:E1"/>
    <mergeCell ref="H1:O1"/>
    <mergeCell ref="G2:G24"/>
    <mergeCell ref="H89:O89"/>
    <mergeCell ref="G90:G127"/>
    <mergeCell ref="H28:O28"/>
    <mergeCell ref="G29:G85"/>
    <mergeCell ref="G134:G190"/>
  </mergeCells>
  <phoneticPr fontId="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FB16B-9C4D-4676-9FD9-E2EE363FCA6E}">
  <dimension ref="A1"/>
  <sheetViews>
    <sheetView workbookViewId="0">
      <selection sqref="A1:A4"/>
    </sheetView>
  </sheetViews>
  <sheetFormatPr defaultRowHeight="14.5" x14ac:dyDescent="0.3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Renata Stavale</dc:creator>
  <cp:lastModifiedBy>Renata Stavale</cp:lastModifiedBy>
  <dcterms:created xsi:type="dcterms:W3CDTF">2026-01-29T22:33:24Z</dcterms:created>
  <dcterms:modified xsi:type="dcterms:W3CDTF">2026-04-01T01:00:52Z</dcterms:modified>
</cp:coreProperties>
</file>